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91880\Downloads\"/>
    </mc:Choice>
  </mc:AlternateContent>
  <xr:revisionPtr revIDLastSave="0" documentId="13_ncr:1_{B7752373-826F-40AA-899A-441DE9F1D9F7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Dashboard" sheetId="1" r:id="rId1"/>
    <sheet name="Assumptions" sheetId="2" r:id="rId2"/>
    <sheet name="Vendor_Master" sheetId="3" r:id="rId3"/>
    <sheet name="Raw_Data" sheetId="4" r:id="rId4"/>
    <sheet name="PivotTable_Analysis" sheetId="5" r:id="rId5"/>
    <sheet name="Summary" sheetId="6" r:id="rId6"/>
  </sheets>
  <calcPr calcId="191029" iterateDelta="1E-4"/>
  <pivotCaches>
    <pivotCache cacheId="0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7" i="1" l="1" a="1"/>
  <c r="E7" i="1" a="1"/>
  <c r="C7" i="1" a="1"/>
  <c r="A7" i="1" a="1"/>
  <c r="P104" i="4"/>
  <c r="O104" i="4"/>
  <c r="N104" i="4"/>
  <c r="M104" i="4"/>
  <c r="L104" i="4"/>
  <c r="K104" i="4"/>
  <c r="P103" i="4"/>
  <c r="O103" i="4"/>
  <c r="N103" i="4"/>
  <c r="M103" i="4"/>
  <c r="L103" i="4"/>
  <c r="K103" i="4"/>
  <c r="P102" i="4"/>
  <c r="O102" i="4"/>
  <c r="N102" i="4"/>
  <c r="M102" i="4"/>
  <c r="L102" i="4"/>
  <c r="K102" i="4"/>
  <c r="P101" i="4"/>
  <c r="O101" i="4"/>
  <c r="N101" i="4"/>
  <c r="M101" i="4"/>
  <c r="L101" i="4"/>
  <c r="K101" i="4"/>
  <c r="P100" i="4"/>
  <c r="O100" i="4"/>
  <c r="N100" i="4"/>
  <c r="M100" i="4"/>
  <c r="L100" i="4"/>
  <c r="K100" i="4"/>
  <c r="P99" i="4"/>
  <c r="O99" i="4"/>
  <c r="N99" i="4"/>
  <c r="M99" i="4"/>
  <c r="L99" i="4"/>
  <c r="K99" i="4"/>
  <c r="P98" i="4"/>
  <c r="O98" i="4"/>
  <c r="N98" i="4"/>
  <c r="M98" i="4"/>
  <c r="L98" i="4"/>
  <c r="K98" i="4"/>
  <c r="P97" i="4"/>
  <c r="O97" i="4"/>
  <c r="N97" i="4"/>
  <c r="M97" i="4"/>
  <c r="L97" i="4"/>
  <c r="K97" i="4"/>
  <c r="P96" i="4"/>
  <c r="O96" i="4"/>
  <c r="N96" i="4"/>
  <c r="M96" i="4"/>
  <c r="L96" i="4"/>
  <c r="K96" i="4"/>
  <c r="P95" i="4"/>
  <c r="O95" i="4"/>
  <c r="N95" i="4"/>
  <c r="M95" i="4"/>
  <c r="L95" i="4"/>
  <c r="K95" i="4"/>
  <c r="P94" i="4"/>
  <c r="O94" i="4"/>
  <c r="N94" i="4"/>
  <c r="M94" i="4"/>
  <c r="L94" i="4"/>
  <c r="K94" i="4"/>
  <c r="P93" i="4"/>
  <c r="O93" i="4"/>
  <c r="N93" i="4"/>
  <c r="M93" i="4"/>
  <c r="L93" i="4"/>
  <c r="K93" i="4"/>
  <c r="P92" i="4"/>
  <c r="O92" i="4"/>
  <c r="N92" i="4"/>
  <c r="M92" i="4"/>
  <c r="L92" i="4"/>
  <c r="K92" i="4"/>
  <c r="P91" i="4"/>
  <c r="O91" i="4"/>
  <c r="N91" i="4"/>
  <c r="M91" i="4"/>
  <c r="L91" i="4"/>
  <c r="K91" i="4"/>
  <c r="P90" i="4"/>
  <c r="O90" i="4"/>
  <c r="N90" i="4"/>
  <c r="M90" i="4"/>
  <c r="L90" i="4"/>
  <c r="K90" i="4"/>
  <c r="P89" i="4"/>
  <c r="O89" i="4"/>
  <c r="N89" i="4"/>
  <c r="M89" i="4"/>
  <c r="L89" i="4"/>
  <c r="K89" i="4"/>
  <c r="P88" i="4"/>
  <c r="O88" i="4"/>
  <c r="N88" i="4"/>
  <c r="M88" i="4"/>
  <c r="L88" i="4"/>
  <c r="K88" i="4"/>
  <c r="P87" i="4"/>
  <c r="O87" i="4"/>
  <c r="N87" i="4"/>
  <c r="M87" i="4"/>
  <c r="L87" i="4"/>
  <c r="K87" i="4"/>
  <c r="P86" i="4"/>
  <c r="O86" i="4"/>
  <c r="N86" i="4"/>
  <c r="M86" i="4"/>
  <c r="L86" i="4"/>
  <c r="K86" i="4"/>
  <c r="P85" i="4"/>
  <c r="O85" i="4"/>
  <c r="N85" i="4"/>
  <c r="M85" i="4"/>
  <c r="L85" i="4"/>
  <c r="K85" i="4"/>
  <c r="P84" i="4"/>
  <c r="O84" i="4"/>
  <c r="N84" i="4"/>
  <c r="M84" i="4"/>
  <c r="L84" i="4"/>
  <c r="K84" i="4"/>
  <c r="P83" i="4"/>
  <c r="O83" i="4"/>
  <c r="N83" i="4"/>
  <c r="M83" i="4"/>
  <c r="L83" i="4"/>
  <c r="K83" i="4"/>
  <c r="P82" i="4"/>
  <c r="O82" i="4"/>
  <c r="N82" i="4"/>
  <c r="M82" i="4"/>
  <c r="L82" i="4"/>
  <c r="K82" i="4"/>
  <c r="P81" i="4"/>
  <c r="O81" i="4"/>
  <c r="N81" i="4"/>
  <c r="M81" i="4"/>
  <c r="L81" i="4"/>
  <c r="K81" i="4"/>
  <c r="P80" i="4"/>
  <c r="O80" i="4"/>
  <c r="N80" i="4"/>
  <c r="M80" i="4"/>
  <c r="L80" i="4"/>
  <c r="K80" i="4"/>
  <c r="P79" i="4"/>
  <c r="O79" i="4"/>
  <c r="N79" i="4"/>
  <c r="M79" i="4"/>
  <c r="L79" i="4"/>
  <c r="K79" i="4"/>
  <c r="P78" i="4"/>
  <c r="O78" i="4"/>
  <c r="N78" i="4"/>
  <c r="M78" i="4"/>
  <c r="L78" i="4"/>
  <c r="K78" i="4"/>
  <c r="P77" i="4"/>
  <c r="O77" i="4"/>
  <c r="N77" i="4"/>
  <c r="M77" i="4"/>
  <c r="L77" i="4"/>
  <c r="K77" i="4"/>
  <c r="P76" i="4"/>
  <c r="O76" i="4"/>
  <c r="N76" i="4"/>
  <c r="M76" i="4"/>
  <c r="L76" i="4"/>
  <c r="K76" i="4"/>
  <c r="P75" i="4"/>
  <c r="O75" i="4"/>
  <c r="N75" i="4"/>
  <c r="M75" i="4"/>
  <c r="L75" i="4"/>
  <c r="K75" i="4"/>
  <c r="P74" i="4"/>
  <c r="O74" i="4"/>
  <c r="N74" i="4"/>
  <c r="M74" i="4"/>
  <c r="L74" i="4"/>
  <c r="K74" i="4"/>
  <c r="P73" i="4"/>
  <c r="O73" i="4"/>
  <c r="N73" i="4"/>
  <c r="M73" i="4"/>
  <c r="L73" i="4"/>
  <c r="K73" i="4"/>
  <c r="P72" i="4"/>
  <c r="O72" i="4"/>
  <c r="N72" i="4"/>
  <c r="M72" i="4"/>
  <c r="L72" i="4"/>
  <c r="K72" i="4"/>
  <c r="P71" i="4"/>
  <c r="O71" i="4"/>
  <c r="N71" i="4"/>
  <c r="M71" i="4"/>
  <c r="L71" i="4"/>
  <c r="K71" i="4"/>
  <c r="P70" i="4"/>
  <c r="O70" i="4"/>
  <c r="N70" i="4"/>
  <c r="M70" i="4"/>
  <c r="L70" i="4"/>
  <c r="K70" i="4"/>
  <c r="P69" i="4"/>
  <c r="O69" i="4"/>
  <c r="N69" i="4"/>
  <c r="M69" i="4"/>
  <c r="L69" i="4"/>
  <c r="K69" i="4"/>
  <c r="P68" i="4"/>
  <c r="O68" i="4"/>
  <c r="N68" i="4"/>
  <c r="M68" i="4"/>
  <c r="L68" i="4"/>
  <c r="K68" i="4"/>
  <c r="P67" i="4"/>
  <c r="O67" i="4"/>
  <c r="N67" i="4"/>
  <c r="M67" i="4"/>
  <c r="L67" i="4"/>
  <c r="K67" i="4"/>
  <c r="P66" i="4"/>
  <c r="O66" i="4"/>
  <c r="N66" i="4"/>
  <c r="M66" i="4"/>
  <c r="L66" i="4"/>
  <c r="K66" i="4"/>
  <c r="P65" i="4"/>
  <c r="O65" i="4"/>
  <c r="N65" i="4"/>
  <c r="M65" i="4"/>
  <c r="L65" i="4"/>
  <c r="K65" i="4"/>
  <c r="P64" i="4"/>
  <c r="O64" i="4"/>
  <c r="N64" i="4"/>
  <c r="M64" i="4"/>
  <c r="L64" i="4"/>
  <c r="K64" i="4"/>
  <c r="P63" i="4"/>
  <c r="O63" i="4"/>
  <c r="N63" i="4"/>
  <c r="M63" i="4"/>
  <c r="L63" i="4"/>
  <c r="K63" i="4"/>
  <c r="P62" i="4"/>
  <c r="O62" i="4"/>
  <c r="N62" i="4"/>
  <c r="M62" i="4"/>
  <c r="L62" i="4"/>
  <c r="K62" i="4"/>
  <c r="P61" i="4"/>
  <c r="O61" i="4"/>
  <c r="N61" i="4"/>
  <c r="M61" i="4"/>
  <c r="L61" i="4"/>
  <c r="K61" i="4"/>
  <c r="P60" i="4"/>
  <c r="O60" i="4"/>
  <c r="N60" i="4"/>
  <c r="M60" i="4"/>
  <c r="L60" i="4"/>
  <c r="K60" i="4"/>
  <c r="P59" i="4"/>
  <c r="O59" i="4"/>
  <c r="N59" i="4"/>
  <c r="M59" i="4"/>
  <c r="L59" i="4"/>
  <c r="K59" i="4"/>
  <c r="P58" i="4"/>
  <c r="O58" i="4"/>
  <c r="N58" i="4"/>
  <c r="M58" i="4"/>
  <c r="L58" i="4"/>
  <c r="K58" i="4"/>
  <c r="P57" i="4"/>
  <c r="O57" i="4"/>
  <c r="N57" i="4"/>
  <c r="M57" i="4"/>
  <c r="L57" i="4"/>
  <c r="K57" i="4"/>
  <c r="P56" i="4"/>
  <c r="O56" i="4"/>
  <c r="N56" i="4"/>
  <c r="M56" i="4"/>
  <c r="L56" i="4"/>
  <c r="K56" i="4"/>
  <c r="P55" i="4"/>
  <c r="O55" i="4"/>
  <c r="N55" i="4"/>
  <c r="M55" i="4"/>
  <c r="L55" i="4"/>
  <c r="K55" i="4"/>
  <c r="P54" i="4"/>
  <c r="O54" i="4"/>
  <c r="N54" i="4"/>
  <c r="M54" i="4"/>
  <c r="L54" i="4"/>
  <c r="K54" i="4"/>
  <c r="P53" i="4"/>
  <c r="O53" i="4"/>
  <c r="N53" i="4"/>
  <c r="M53" i="4"/>
  <c r="L53" i="4"/>
  <c r="K53" i="4"/>
  <c r="P52" i="4"/>
  <c r="O52" i="4"/>
  <c r="N52" i="4"/>
  <c r="M52" i="4"/>
  <c r="L52" i="4"/>
  <c r="K52" i="4"/>
  <c r="P51" i="4"/>
  <c r="O51" i="4"/>
  <c r="N51" i="4"/>
  <c r="M51" i="4"/>
  <c r="L51" i="4"/>
  <c r="K51" i="4"/>
  <c r="P50" i="4"/>
  <c r="O50" i="4"/>
  <c r="N50" i="4"/>
  <c r="M50" i="4"/>
  <c r="L50" i="4"/>
  <c r="K50" i="4"/>
  <c r="P49" i="4"/>
  <c r="O49" i="4"/>
  <c r="N49" i="4"/>
  <c r="M49" i="4"/>
  <c r="L49" i="4"/>
  <c r="K49" i="4"/>
  <c r="P48" i="4"/>
  <c r="O48" i="4"/>
  <c r="N48" i="4"/>
  <c r="M48" i="4"/>
  <c r="L48" i="4"/>
  <c r="K48" i="4"/>
  <c r="P47" i="4"/>
  <c r="O47" i="4"/>
  <c r="N47" i="4"/>
  <c r="M47" i="4"/>
  <c r="L47" i="4"/>
  <c r="K47" i="4"/>
  <c r="P46" i="4"/>
  <c r="O46" i="4"/>
  <c r="N46" i="4"/>
  <c r="M46" i="4"/>
  <c r="L46" i="4"/>
  <c r="K46" i="4"/>
  <c r="P45" i="4"/>
  <c r="O45" i="4"/>
  <c r="N45" i="4"/>
  <c r="M45" i="4"/>
  <c r="L45" i="4"/>
  <c r="K45" i="4"/>
  <c r="P44" i="4"/>
  <c r="O44" i="4"/>
  <c r="N44" i="4"/>
  <c r="M44" i="4"/>
  <c r="L44" i="4"/>
  <c r="K44" i="4"/>
  <c r="P43" i="4"/>
  <c r="O43" i="4"/>
  <c r="N43" i="4"/>
  <c r="M43" i="4"/>
  <c r="L43" i="4"/>
  <c r="K43" i="4"/>
  <c r="P42" i="4"/>
  <c r="O42" i="4"/>
  <c r="N42" i="4"/>
  <c r="M42" i="4"/>
  <c r="L42" i="4"/>
  <c r="K42" i="4"/>
  <c r="P41" i="4"/>
  <c r="O41" i="4"/>
  <c r="N41" i="4"/>
  <c r="M41" i="4"/>
  <c r="L41" i="4"/>
  <c r="K41" i="4"/>
  <c r="P40" i="4"/>
  <c r="O40" i="4"/>
  <c r="N40" i="4"/>
  <c r="M40" i="4"/>
  <c r="L40" i="4"/>
  <c r="K40" i="4"/>
  <c r="P39" i="4"/>
  <c r="O39" i="4"/>
  <c r="N39" i="4"/>
  <c r="M39" i="4"/>
  <c r="L39" i="4"/>
  <c r="K39" i="4"/>
  <c r="P38" i="4"/>
  <c r="O38" i="4"/>
  <c r="N38" i="4"/>
  <c r="M38" i="4"/>
  <c r="L38" i="4"/>
  <c r="K38" i="4"/>
  <c r="P37" i="4"/>
  <c r="O37" i="4"/>
  <c r="N37" i="4"/>
  <c r="M37" i="4"/>
  <c r="L37" i="4"/>
  <c r="K37" i="4"/>
  <c r="P36" i="4"/>
  <c r="O36" i="4"/>
  <c r="N36" i="4"/>
  <c r="M36" i="4"/>
  <c r="L36" i="4"/>
  <c r="K36" i="4"/>
  <c r="P35" i="4"/>
  <c r="O35" i="4"/>
  <c r="N35" i="4"/>
  <c r="M35" i="4"/>
  <c r="L35" i="4"/>
  <c r="K35" i="4"/>
  <c r="P34" i="4"/>
  <c r="O34" i="4"/>
  <c r="N34" i="4"/>
  <c r="M34" i="4"/>
  <c r="L34" i="4"/>
  <c r="K34" i="4"/>
  <c r="P33" i="4"/>
  <c r="O33" i="4"/>
  <c r="N33" i="4"/>
  <c r="M33" i="4"/>
  <c r="L33" i="4"/>
  <c r="K33" i="4"/>
  <c r="P32" i="4"/>
  <c r="O32" i="4"/>
  <c r="N32" i="4"/>
  <c r="M32" i="4"/>
  <c r="L32" i="4"/>
  <c r="K32" i="4"/>
  <c r="P31" i="4"/>
  <c r="O31" i="4"/>
  <c r="N31" i="4"/>
  <c r="M31" i="4"/>
  <c r="L31" i="4"/>
  <c r="K31" i="4"/>
  <c r="P30" i="4"/>
  <c r="O30" i="4"/>
  <c r="N30" i="4"/>
  <c r="M30" i="4"/>
  <c r="L30" i="4"/>
  <c r="K30" i="4"/>
  <c r="P29" i="4"/>
  <c r="O29" i="4"/>
  <c r="N29" i="4"/>
  <c r="M29" i="4"/>
  <c r="L29" i="4"/>
  <c r="K29" i="4"/>
  <c r="P28" i="4"/>
  <c r="O28" i="4"/>
  <c r="N28" i="4"/>
  <c r="M28" i="4"/>
  <c r="L28" i="4"/>
  <c r="K28" i="4"/>
  <c r="P27" i="4"/>
  <c r="O27" i="4"/>
  <c r="N27" i="4"/>
  <c r="M27" i="4"/>
  <c r="L27" i="4"/>
  <c r="K27" i="4"/>
  <c r="P26" i="4"/>
  <c r="O26" i="4"/>
  <c r="N26" i="4"/>
  <c r="M26" i="4"/>
  <c r="L26" i="4"/>
  <c r="K26" i="4"/>
  <c r="P25" i="4"/>
  <c r="O25" i="4"/>
  <c r="N25" i="4"/>
  <c r="M25" i="4"/>
  <c r="L25" i="4"/>
  <c r="K25" i="4"/>
  <c r="P24" i="4"/>
  <c r="O24" i="4"/>
  <c r="N24" i="4"/>
  <c r="M24" i="4"/>
  <c r="L24" i="4"/>
  <c r="K24" i="4"/>
  <c r="P23" i="4"/>
  <c r="O23" i="4"/>
  <c r="N23" i="4"/>
  <c r="M23" i="4"/>
  <c r="L23" i="4"/>
  <c r="K23" i="4"/>
  <c r="P22" i="4"/>
  <c r="O22" i="4"/>
  <c r="N22" i="4"/>
  <c r="M22" i="4"/>
  <c r="L22" i="4"/>
  <c r="K22" i="4"/>
  <c r="P21" i="4"/>
  <c r="O21" i="4"/>
  <c r="N21" i="4"/>
  <c r="M21" i="4"/>
  <c r="L21" i="4"/>
  <c r="K21" i="4"/>
  <c r="P20" i="4"/>
  <c r="O20" i="4"/>
  <c r="N20" i="4"/>
  <c r="M20" i="4"/>
  <c r="L20" i="4"/>
  <c r="K20" i="4"/>
  <c r="P19" i="4"/>
  <c r="O19" i="4"/>
  <c r="N19" i="4"/>
  <c r="M19" i="4"/>
  <c r="L19" i="4"/>
  <c r="K19" i="4"/>
  <c r="P18" i="4"/>
  <c r="O18" i="4"/>
  <c r="N18" i="4"/>
  <c r="M18" i="4"/>
  <c r="L18" i="4"/>
  <c r="K18" i="4"/>
  <c r="P17" i="4"/>
  <c r="O17" i="4"/>
  <c r="N17" i="4"/>
  <c r="M17" i="4"/>
  <c r="L17" i="4"/>
  <c r="K17" i="4"/>
  <c r="P16" i="4"/>
  <c r="O16" i="4"/>
  <c r="N16" i="4"/>
  <c r="M16" i="4"/>
  <c r="L16" i="4"/>
  <c r="K16" i="4"/>
  <c r="P15" i="4"/>
  <c r="O15" i="4"/>
  <c r="N15" i="4"/>
  <c r="M15" i="4"/>
  <c r="L15" i="4"/>
  <c r="K15" i="4"/>
  <c r="P14" i="4"/>
  <c r="O14" i="4"/>
  <c r="N14" i="4"/>
  <c r="M14" i="4"/>
  <c r="L14" i="4"/>
  <c r="K14" i="4"/>
  <c r="P13" i="4"/>
  <c r="O13" i="4"/>
  <c r="N13" i="4"/>
  <c r="M13" i="4"/>
  <c r="L13" i="4"/>
  <c r="K13" i="4"/>
  <c r="P12" i="4"/>
  <c r="O12" i="4"/>
  <c r="N12" i="4"/>
  <c r="M12" i="4"/>
  <c r="L12" i="4"/>
  <c r="K12" i="4"/>
  <c r="P11" i="4"/>
  <c r="O11" i="4"/>
  <c r="N11" i="4"/>
  <c r="M11" i="4"/>
  <c r="L11" i="4"/>
  <c r="K11" i="4"/>
  <c r="P10" i="4"/>
  <c r="O10" i="4"/>
  <c r="N10" i="4"/>
  <c r="M10" i="4"/>
  <c r="L10" i="4"/>
  <c r="K10" i="4"/>
  <c r="P9" i="4"/>
  <c r="O9" i="4"/>
  <c r="N9" i="4"/>
  <c r="M9" i="4"/>
  <c r="L9" i="4"/>
  <c r="K9" i="4"/>
  <c r="P8" i="4"/>
  <c r="O8" i="4"/>
  <c r="N8" i="4"/>
  <c r="M8" i="4"/>
  <c r="L8" i="4"/>
  <c r="K8" i="4"/>
  <c r="P7" i="4"/>
  <c r="O7" i="4"/>
  <c r="N7" i="4"/>
  <c r="M7" i="4"/>
  <c r="L7" i="4"/>
  <c r="K7" i="4"/>
  <c r="P6" i="4"/>
  <c r="O6" i="4"/>
  <c r="N6" i="4"/>
  <c r="M6" i="4"/>
  <c r="L6" i="4"/>
  <c r="K6" i="4"/>
  <c r="P5" i="4"/>
  <c r="O5" i="4"/>
  <c r="N5" i="4"/>
  <c r="M5" i="4"/>
  <c r="L5" i="4"/>
  <c r="K5" i="4"/>
  <c r="P4" i="4"/>
  <c r="O4" i="4"/>
  <c r="N4" i="4"/>
  <c r="M4" i="4"/>
  <c r="L4" i="4"/>
  <c r="K4" i="4"/>
  <c r="P3" i="4"/>
  <c r="O3" i="4"/>
  <c r="N3" i="4"/>
  <c r="M3" i="4"/>
  <c r="L3" i="4"/>
  <c r="K3" i="4"/>
  <c r="P2" i="4"/>
  <c r="O2" i="4"/>
  <c r="N2" i="4"/>
  <c r="M2" i="4"/>
  <c r="L2" i="4"/>
  <c r="K2" i="4"/>
  <c r="A21" i="1"/>
  <c r="A20" i="1"/>
  <c r="A19" i="1"/>
  <c r="A18" i="1"/>
  <c r="A17" i="1"/>
  <c r="A16" i="1"/>
  <c r="A15" i="1"/>
  <c r="A14" i="1"/>
  <c r="A13" i="1"/>
  <c r="A12" i="1"/>
  <c r="A11" i="1"/>
  <c r="D71" i="6"/>
  <c r="C71" i="6"/>
  <c r="B71" i="6"/>
  <c r="D70" i="6"/>
  <c r="C70" i="6"/>
  <c r="B70" i="6"/>
  <c r="D69" i="6"/>
  <c r="C69" i="6"/>
  <c r="B69" i="6"/>
  <c r="D68" i="6"/>
  <c r="C68" i="6"/>
  <c r="B68" i="6"/>
  <c r="D67" i="6"/>
  <c r="C67" i="6"/>
  <c r="B67" i="6"/>
  <c r="D66" i="6"/>
  <c r="C66" i="6"/>
  <c r="B66" i="6"/>
  <c r="D65" i="6"/>
  <c r="C65" i="6"/>
  <c r="B65" i="6"/>
  <c r="D64" i="6"/>
  <c r="C64" i="6"/>
  <c r="B64" i="6"/>
  <c r="D63" i="6"/>
  <c r="C63" i="6"/>
  <c r="B63" i="6"/>
  <c r="D62" i="6"/>
  <c r="C62" i="6"/>
  <c r="B62" i="6"/>
  <c r="B31" i="6"/>
  <c r="B30" i="6"/>
  <c r="B29" i="6"/>
  <c r="B28" i="6"/>
  <c r="B27" i="6"/>
  <c r="B26" i="6"/>
  <c r="B25" i="6"/>
  <c r="B24" i="6"/>
  <c r="B23" i="6"/>
  <c r="B22" i="6"/>
  <c r="G12" i="6"/>
  <c r="F12" i="6"/>
  <c r="E12" i="6"/>
  <c r="D12" i="6"/>
  <c r="C12" i="6"/>
  <c r="B12" i="6"/>
  <c r="G11" i="6"/>
  <c r="F11" i="6"/>
  <c r="E11" i="6"/>
  <c r="D11" i="6"/>
  <c r="C11" i="6"/>
  <c r="B11" i="6"/>
  <c r="G10" i="6"/>
  <c r="F10" i="6"/>
  <c r="E10" i="6"/>
  <c r="D10" i="6"/>
  <c r="C10" i="6"/>
  <c r="B10" i="6"/>
  <c r="G9" i="6"/>
  <c r="F9" i="6"/>
  <c r="E9" i="6"/>
  <c r="D9" i="6"/>
  <c r="C9" i="6"/>
  <c r="B9" i="6"/>
  <c r="G8" i="6"/>
  <c r="F8" i="6"/>
  <c r="E8" i="6"/>
  <c r="D8" i="6"/>
  <c r="C8" i="6"/>
  <c r="B8" i="6"/>
  <c r="G7" i="6"/>
  <c r="F7" i="6"/>
  <c r="E7" i="6"/>
  <c r="D7" i="6"/>
  <c r="C7" i="6"/>
  <c r="B7" i="6"/>
  <c r="G6" i="6"/>
  <c r="F6" i="6"/>
  <c r="E6" i="6"/>
  <c r="D6" i="6"/>
  <c r="C6" i="6"/>
  <c r="B6" i="6"/>
  <c r="G5" i="6"/>
  <c r="F5" i="6"/>
  <c r="E5" i="6"/>
  <c r="D5" i="6"/>
  <c r="C5" i="6"/>
  <c r="B5" i="6"/>
  <c r="G4" i="6"/>
  <c r="F4" i="6"/>
  <c r="E4" i="6"/>
  <c r="D4" i="6"/>
  <c r="C4" i="6"/>
  <c r="B4" i="6"/>
  <c r="G3" i="6"/>
  <c r="F3" i="6"/>
  <c r="E3" i="6"/>
  <c r="D3" i="6"/>
  <c r="C3" i="6"/>
  <c r="B3" i="6"/>
  <c r="E70" i="6" l="1"/>
  <c r="E19" i="1" s="1"/>
  <c r="E68" i="6"/>
  <c r="E17" i="1" s="1"/>
  <c r="E66" i="6"/>
  <c r="E15" i="1" s="1"/>
  <c r="E62" i="6"/>
  <c r="B42" i="6"/>
  <c r="B40" i="6"/>
  <c r="B38" i="6"/>
  <c r="G13" i="6"/>
  <c r="E13" i="6"/>
  <c r="C13" i="6"/>
  <c r="B15" i="1"/>
  <c r="B13" i="1"/>
  <c r="C12" i="1"/>
  <c r="D11" i="1"/>
  <c r="B11" i="1"/>
  <c r="E69" i="6"/>
  <c r="E18" i="1" s="1"/>
  <c r="E64" i="6"/>
  <c r="E13" i="1" s="1"/>
  <c r="F13" i="6"/>
  <c r="D13" i="6"/>
  <c r="B13" i="6"/>
  <c r="D15" i="1"/>
  <c r="C72" i="6"/>
  <c r="C21" i="1" s="1"/>
  <c r="E67" i="6"/>
  <c r="E16" i="1" s="1"/>
  <c r="E63" i="6"/>
  <c r="E12" i="1" s="1"/>
  <c r="B46" i="6"/>
  <c r="B45" i="6"/>
  <c r="B44" i="6"/>
  <c r="B43" i="6"/>
  <c r="B41" i="6"/>
  <c r="B39" i="6"/>
  <c r="B37" i="6"/>
  <c r="D20" i="1"/>
  <c r="C20" i="1"/>
  <c r="B20" i="1"/>
  <c r="D19" i="1"/>
  <c r="C19" i="1"/>
  <c r="B19" i="1"/>
  <c r="D18" i="1"/>
  <c r="C18" i="1"/>
  <c r="B18" i="1"/>
  <c r="D17" i="1"/>
  <c r="C17" i="1"/>
  <c r="B17" i="1"/>
  <c r="D16" i="1"/>
  <c r="C16" i="1"/>
  <c r="B16" i="1"/>
  <c r="C15" i="1"/>
  <c r="D14" i="1"/>
  <c r="C14" i="1"/>
  <c r="B14" i="1"/>
  <c r="D13" i="1"/>
  <c r="C13" i="1"/>
  <c r="D12" i="1"/>
  <c r="B12" i="1"/>
  <c r="C11" i="1"/>
  <c r="D72" i="6"/>
  <c r="D21" i="1" s="1"/>
  <c r="B72" i="6"/>
  <c r="B21" i="1" s="1"/>
  <c r="E71" i="6"/>
  <c r="E20" i="1" s="1"/>
  <c r="E65" i="6"/>
  <c r="E14" i="1" s="1"/>
  <c r="E72" i="6" l="1"/>
  <c r="E21" i="1" s="1"/>
  <c r="E11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<sst xmlns="http://schemas.openxmlformats.org/spreadsheetml/2006/main" count="859" uniqueCount="351">
  <si>
    <t>Vendor Payment &amp; Expense Dashboard</t>
  </si>
  <si>
    <t>Select Month:</t>
  </si>
  <si>
    <t>All</t>
  </si>
  <si>
    <t>Total Spend (₹)</t>
  </si>
  <si>
    <t>Total Outstanding (Pending+Overdue) (₹)</t>
  </si>
  <si>
    <t>Overdue Invoice Count</t>
  </si>
  <si>
    <t>% Paid</t>
  </si>
  <si>
    <t>Live Pivot — Category x Payment Status (auto-updates with month filter above)</t>
  </si>
  <si>
    <t>Category</t>
  </si>
  <si>
    <t>Paid</t>
  </si>
  <si>
    <t>Pending</t>
  </si>
  <si>
    <t>Overdue</t>
  </si>
  <si>
    <t>Grand Total</t>
  </si>
  <si>
    <t>Both charts and the pivot above now recompute live from the month dropdown (cell B4).</t>
  </si>
  <si>
    <t>Build steps for you to complete by hand (see project guide): PivotTable from Raw_Data, and Power Query merge of the two raw export files.</t>
  </si>
  <si>
    <t>Assumptions &amp; Notes</t>
  </si>
  <si>
    <t>GST Rate Assumed</t>
  </si>
  <si>
    <t>Large Invoice Threshold (₹)</t>
  </si>
  <si>
    <t>Dashboard 'As Of' Date</t>
  </si>
  <si>
    <t>2026-06-30</t>
  </si>
  <si>
    <t>Vendor_Name</t>
  </si>
  <si>
    <t>Payment_Terms_Days</t>
  </si>
  <si>
    <t>Contact_Person</t>
  </si>
  <si>
    <t>Onboarded_Date</t>
  </si>
  <si>
    <t>Shree Maintenance Services</t>
  </si>
  <si>
    <t>Maintenance</t>
  </si>
  <si>
    <t>Contact 1</t>
  </si>
  <si>
    <t>2024-04-12</t>
  </si>
  <si>
    <t>Apex Security Solutions</t>
  </si>
  <si>
    <t>Security</t>
  </si>
  <si>
    <t>Contact 2</t>
  </si>
  <si>
    <t>2025-03-11</t>
  </si>
  <si>
    <t>Clean &amp; Clear Housekeeping</t>
  </si>
  <si>
    <t>Housekeeping</t>
  </si>
  <si>
    <t>Contact 3</t>
  </si>
  <si>
    <t>2024-12-14</t>
  </si>
  <si>
    <t>GreenScape Landscaping</t>
  </si>
  <si>
    <t>Landscaping</t>
  </si>
  <si>
    <t>Contact 4</t>
  </si>
  <si>
    <t>2024-09-27</t>
  </si>
  <si>
    <t>Delhi Power Utilities Pvt Ltd</t>
  </si>
  <si>
    <t>Utilities</t>
  </si>
  <si>
    <t>Contact 5</t>
  </si>
  <si>
    <t>2024-04-16</t>
  </si>
  <si>
    <t>Reliable Repairs Co</t>
  </si>
  <si>
    <t>Repairs</t>
  </si>
  <si>
    <t>Contact 6</t>
  </si>
  <si>
    <t>2024-03-12</t>
  </si>
  <si>
    <t>Capital Insurance Brokers</t>
  </si>
  <si>
    <t>Insurance</t>
  </si>
  <si>
    <t>Contact 7</t>
  </si>
  <si>
    <t>2024-07-07</t>
  </si>
  <si>
    <t>BrightWay Office Supplies</t>
  </si>
  <si>
    <t>Office Supplies</t>
  </si>
  <si>
    <t>Contact 8</t>
  </si>
  <si>
    <t>2024-01-21</t>
  </si>
  <si>
    <t>Nexus Professional Consultants</t>
  </si>
  <si>
    <t>Professional Fees</t>
  </si>
  <si>
    <t>Contact 9</t>
  </si>
  <si>
    <t>UrbanEdge Marketing</t>
  </si>
  <si>
    <t>Marketing</t>
  </si>
  <si>
    <t>Contact 10</t>
  </si>
  <si>
    <t>2024-05-01</t>
  </si>
  <si>
    <t>SafeGuard Fire &amp; Safety</t>
  </si>
  <si>
    <t>Contact 11</t>
  </si>
  <si>
    <t>2025-04-11</t>
  </si>
  <si>
    <t>Crystal Water Treatment</t>
  </si>
  <si>
    <t>Contact 12</t>
  </si>
  <si>
    <t>2024-08-02</t>
  </si>
  <si>
    <t>Invoice_No</t>
  </si>
  <si>
    <t>Property_Unit</t>
  </si>
  <si>
    <t>Invoice_Date</t>
  </si>
  <si>
    <t>Due_Date</t>
  </si>
  <si>
    <t>Amount</t>
  </si>
  <si>
    <t>GST_Amount</t>
  </si>
  <si>
    <t>Total_Amount</t>
  </si>
  <si>
    <t>Payment_Status</t>
  </si>
  <si>
    <t>Payment_Date</t>
  </si>
  <si>
    <t>Terms_VLOOKUP</t>
  </si>
  <si>
    <t xml:space="preserve">Terms_XLOOKUP </t>
  </si>
  <si>
    <t>Terms_INDEXMATCH</t>
  </si>
  <si>
    <t>Large_Invoice_Flag</t>
  </si>
  <si>
    <t>Category_Lookup</t>
  </si>
  <si>
    <t>Month_No</t>
  </si>
  <si>
    <t>INV-1001</t>
  </si>
  <si>
    <t>Tower B</t>
  </si>
  <si>
    <t>2026-01-01</t>
  </si>
  <si>
    <t>2026-01-31</t>
  </si>
  <si>
    <t>2026-01-04</t>
  </si>
  <si>
    <t>INV-1002</t>
  </si>
  <si>
    <t>Tower A</t>
  </si>
  <si>
    <t>2026-01-24</t>
  </si>
  <si>
    <t>2026-02-23</t>
  </si>
  <si>
    <t>2026-01-25</t>
  </si>
  <si>
    <t>INV-1003</t>
  </si>
  <si>
    <t>2026-01-03</t>
  </si>
  <si>
    <t>2026-02-02</t>
  </si>
  <si>
    <t>2026-02-03</t>
  </si>
  <si>
    <t>INV-1004</t>
  </si>
  <si>
    <t>Commercial Block</t>
  </si>
  <si>
    <t>2026-01-08</t>
  </si>
  <si>
    <t>2026-02-22</t>
  </si>
  <si>
    <t>INV-1005</t>
  </si>
  <si>
    <t>Retail Plaza</t>
  </si>
  <si>
    <t>2026-02-24</t>
  </si>
  <si>
    <t>INV-1006</t>
  </si>
  <si>
    <t>2026-02-13</t>
  </si>
  <si>
    <t>INV-1007</t>
  </si>
  <si>
    <t>2026-01-20</t>
  </si>
  <si>
    <t>2026-02-19</t>
  </si>
  <si>
    <t>2026-02-20</t>
  </si>
  <si>
    <t>INV-1008</t>
  </si>
  <si>
    <t>2026-01-13</t>
  </si>
  <si>
    <t>2026-02-12</t>
  </si>
  <si>
    <t>INV-1009</t>
  </si>
  <si>
    <t>2026-01-28</t>
  </si>
  <si>
    <t>2026-02-27</t>
  </si>
  <si>
    <t>2026-01-29</t>
  </si>
  <si>
    <t>INV-1010</t>
  </si>
  <si>
    <t>2026-02-07</t>
  </si>
  <si>
    <t>INV-1011</t>
  </si>
  <si>
    <t>2026-02-01</t>
  </si>
  <si>
    <t>INV-1012</t>
  </si>
  <si>
    <t>2026-01-23</t>
  </si>
  <si>
    <t>2026-01-30</t>
  </si>
  <si>
    <t>INV-1013</t>
  </si>
  <si>
    <t>2026-03-24</t>
  </si>
  <si>
    <t>2026-03-16</t>
  </si>
  <si>
    <t>INV-1014</t>
  </si>
  <si>
    <t>2026-02-16</t>
  </si>
  <si>
    <t>INV-1015</t>
  </si>
  <si>
    <t>2026-01-22</t>
  </si>
  <si>
    <t>2026-02-21</t>
  </si>
  <si>
    <t>INV-1016</t>
  </si>
  <si>
    <t>2026-03-04</t>
  </si>
  <si>
    <t>2026-03-02</t>
  </si>
  <si>
    <t>INV-1017</t>
  </si>
  <si>
    <t>2026-02-04</t>
  </si>
  <si>
    <t>2026-03-21</t>
  </si>
  <si>
    <t>2026-03-20</t>
  </si>
  <si>
    <t>INV-1018</t>
  </si>
  <si>
    <t>2026-03-18</t>
  </si>
  <si>
    <t>INV-1019</t>
  </si>
  <si>
    <t>2026-02-05</t>
  </si>
  <si>
    <t>2026-03-07</t>
  </si>
  <si>
    <t>INV-1020</t>
  </si>
  <si>
    <t>2026-02-25</t>
  </si>
  <si>
    <t>2026-03-27</t>
  </si>
  <si>
    <t>INV-1021</t>
  </si>
  <si>
    <t>2026-02-17</t>
  </si>
  <si>
    <t>2026-04-03</t>
  </si>
  <si>
    <t>2026-03-15</t>
  </si>
  <si>
    <t>INV-1022</t>
  </si>
  <si>
    <t>2026-02-06</t>
  </si>
  <si>
    <t>2026-03-23</t>
  </si>
  <si>
    <t>2026-02-10</t>
  </si>
  <si>
    <t>INV-1023</t>
  </si>
  <si>
    <t>2026-02-15</t>
  </si>
  <si>
    <t>2026-03-17</t>
  </si>
  <si>
    <t>2026-03-11</t>
  </si>
  <si>
    <t>INV-1024</t>
  </si>
  <si>
    <t>INV-1025</t>
  </si>
  <si>
    <t>2026-02-14</t>
  </si>
  <si>
    <t>2026-03-01</t>
  </si>
  <si>
    <t>INV-1026</t>
  </si>
  <si>
    <t>INV-1027</t>
  </si>
  <si>
    <t>2026-04-08</t>
  </si>
  <si>
    <t>2026-03-22</t>
  </si>
  <si>
    <t>INV-1028</t>
  </si>
  <si>
    <t>2026-03-25</t>
  </si>
  <si>
    <t>INV-1029</t>
  </si>
  <si>
    <t>INV-1030</t>
  </si>
  <si>
    <t>2026-03-08</t>
  </si>
  <si>
    <t>2026-04-22</t>
  </si>
  <si>
    <t>INV-1031</t>
  </si>
  <si>
    <t>INV-1032</t>
  </si>
  <si>
    <t>2026-03-30</t>
  </si>
  <si>
    <t>INV-1033</t>
  </si>
  <si>
    <t>INV-1034</t>
  </si>
  <si>
    <t>2026-02-26</t>
  </si>
  <si>
    <t>2026-03-28</t>
  </si>
  <si>
    <t>INV-1035</t>
  </si>
  <si>
    <t>2026-04-19</t>
  </si>
  <si>
    <t>INV-1036</t>
  </si>
  <si>
    <t>2026-02-28</t>
  </si>
  <si>
    <t>2026-03-10</t>
  </si>
  <si>
    <t>INV-1037</t>
  </si>
  <si>
    <t>2026-04-16</t>
  </si>
  <si>
    <t>2026-03-29</t>
  </si>
  <si>
    <t>INV-1038</t>
  </si>
  <si>
    <t>2026-04-18</t>
  </si>
  <si>
    <t>INV-1039</t>
  </si>
  <si>
    <t>2026-04-09</t>
  </si>
  <si>
    <t>2026-04-14</t>
  </si>
  <si>
    <t>INV-1040</t>
  </si>
  <si>
    <t>2026-03-19</t>
  </si>
  <si>
    <t>INV-1041</t>
  </si>
  <si>
    <t>2026-03-26</t>
  </si>
  <si>
    <t>2026-04-10</t>
  </si>
  <si>
    <t>INV-1042</t>
  </si>
  <si>
    <t>2026-03-13</t>
  </si>
  <si>
    <t>2026-04-12</t>
  </si>
  <si>
    <t>INV-1043</t>
  </si>
  <si>
    <t>INV-1044</t>
  </si>
  <si>
    <t>INV-1045</t>
  </si>
  <si>
    <t>2026-03-31</t>
  </si>
  <si>
    <t>INV-1046</t>
  </si>
  <si>
    <t>2026-03-14</t>
  </si>
  <si>
    <t>INV-1047</t>
  </si>
  <si>
    <t>2026-04-29</t>
  </si>
  <si>
    <t>2026-04-28</t>
  </si>
  <si>
    <t>INV-1048</t>
  </si>
  <si>
    <t>INV-1049</t>
  </si>
  <si>
    <t>2026-04-13</t>
  </si>
  <si>
    <t>2026-05-13</t>
  </si>
  <si>
    <t>2026-05-17</t>
  </si>
  <si>
    <t>INV-1050</t>
  </si>
  <si>
    <t>2026-04-11</t>
  </si>
  <si>
    <t>2026-05-11</t>
  </si>
  <si>
    <t>INV-1051</t>
  </si>
  <si>
    <t>2026-05-03</t>
  </si>
  <si>
    <t>2026-04-04</t>
  </si>
  <si>
    <t>INV-1052</t>
  </si>
  <si>
    <t>2026-05-09</t>
  </si>
  <si>
    <t>INV-1053</t>
  </si>
  <si>
    <t>2026-05-18</t>
  </si>
  <si>
    <t>INV-1054</t>
  </si>
  <si>
    <t>INV-1055</t>
  </si>
  <si>
    <t>2026-04-30</t>
  </si>
  <si>
    <t>2026-05-30</t>
  </si>
  <si>
    <t>INV-1056</t>
  </si>
  <si>
    <t>INV-1057</t>
  </si>
  <si>
    <t>2026-05-05</t>
  </si>
  <si>
    <t>INV-1058</t>
  </si>
  <si>
    <t>2026-04-25</t>
  </si>
  <si>
    <t>2026-05-10</t>
  </si>
  <si>
    <t>INV-1059</t>
  </si>
  <si>
    <t>2026-04-15</t>
  </si>
  <si>
    <t>INV-1060</t>
  </si>
  <si>
    <t>2026-05-02</t>
  </si>
  <si>
    <t>INV-1061</t>
  </si>
  <si>
    <t>2026-04-27</t>
  </si>
  <si>
    <t>2026-05-12</t>
  </si>
  <si>
    <t>INV-1062</t>
  </si>
  <si>
    <t>2026-06-11</t>
  </si>
  <si>
    <t>INV-1063</t>
  </si>
  <si>
    <t>2026-05-04</t>
  </si>
  <si>
    <t>2026-06-03</t>
  </si>
  <si>
    <t>2026-05-23</t>
  </si>
  <si>
    <t>INV-1064</t>
  </si>
  <si>
    <t>2026-05-20</t>
  </si>
  <si>
    <t>2026-07-04</t>
  </si>
  <si>
    <t>INV-1065</t>
  </si>
  <si>
    <t>2026-06-02</t>
  </si>
  <si>
    <t>2026-06-07</t>
  </si>
  <si>
    <t>INV-1066</t>
  </si>
  <si>
    <t>2026-06-17</t>
  </si>
  <si>
    <t>2026-05-21</t>
  </si>
  <si>
    <t>INV-1067</t>
  </si>
  <si>
    <t>2026-07-03</t>
  </si>
  <si>
    <t>2026-06-27</t>
  </si>
  <si>
    <t>INV-1068</t>
  </si>
  <si>
    <t>2026-05-16</t>
  </si>
  <si>
    <t>2026-06-15</t>
  </si>
  <si>
    <t>2026-05-25</t>
  </si>
  <si>
    <t>INV-1069</t>
  </si>
  <si>
    <t>2026-07-01</t>
  </si>
  <si>
    <t>2026-05-29</t>
  </si>
  <si>
    <t>INV-1070</t>
  </si>
  <si>
    <t>2026-05-27</t>
  </si>
  <si>
    <t>2026-06-26</t>
  </si>
  <si>
    <t>INV-1071</t>
  </si>
  <si>
    <t>2026-05-15</t>
  </si>
  <si>
    <t>2026-06-14</t>
  </si>
  <si>
    <t>2026-06-19</t>
  </si>
  <si>
    <t>INV-1072</t>
  </si>
  <si>
    <t>2026-07-02</t>
  </si>
  <si>
    <t>INV-1073</t>
  </si>
  <si>
    <t>2026-06-24</t>
  </si>
  <si>
    <t>2026-06-21</t>
  </si>
  <si>
    <t>INV-1074</t>
  </si>
  <si>
    <t>2026-05-07</t>
  </si>
  <si>
    <t>2026-05-08</t>
  </si>
  <si>
    <t>INV-1075</t>
  </si>
  <si>
    <t>2026-06-16</t>
  </si>
  <si>
    <t>INV-1076</t>
  </si>
  <si>
    <t>2026-06-25</t>
  </si>
  <si>
    <t>INV-1077</t>
  </si>
  <si>
    <t>INV-1078</t>
  </si>
  <si>
    <t>2026-06-08</t>
  </si>
  <si>
    <t>2026-07-08</t>
  </si>
  <si>
    <t>INV-1079</t>
  </si>
  <si>
    <t>INV-1080</t>
  </si>
  <si>
    <t>INV-1081</t>
  </si>
  <si>
    <t>2026-05-26</t>
  </si>
  <si>
    <t>2026-06-10</t>
  </si>
  <si>
    <t>2026-06-12</t>
  </si>
  <si>
    <t>INV-1082</t>
  </si>
  <si>
    <t>2026-05-31</t>
  </si>
  <si>
    <t>INV-1083</t>
  </si>
  <si>
    <t>INV-1084</t>
  </si>
  <si>
    <t>2026-07-17</t>
  </si>
  <si>
    <t>INV-1085</t>
  </si>
  <si>
    <t>INV-1086</t>
  </si>
  <si>
    <t>2026-07-09</t>
  </si>
  <si>
    <t>INV-1087</t>
  </si>
  <si>
    <t>2026-06-29</t>
  </si>
  <si>
    <t>2026-07-14</t>
  </si>
  <si>
    <t>INV-1088</t>
  </si>
  <si>
    <t>2026-07-30</t>
  </si>
  <si>
    <t>2026-07-28</t>
  </si>
  <si>
    <t>INV-1089</t>
  </si>
  <si>
    <t>2026-06-23</t>
  </si>
  <si>
    <t>2026-08-07</t>
  </si>
  <si>
    <t>2026-08-03</t>
  </si>
  <si>
    <t>INV-1090</t>
  </si>
  <si>
    <t>2026-08-01</t>
  </si>
  <si>
    <t>2026-07-29</t>
  </si>
  <si>
    <t>INV-1091</t>
  </si>
  <si>
    <t>2026-06-18</t>
  </si>
  <si>
    <t>INV-1092</t>
  </si>
  <si>
    <t>INV-1093</t>
  </si>
  <si>
    <t>2026-07-10</t>
  </si>
  <si>
    <t>INV-1094</t>
  </si>
  <si>
    <t>2026-06-22</t>
  </si>
  <si>
    <t>2026-07-07</t>
  </si>
  <si>
    <t>INV-1095</t>
  </si>
  <si>
    <t>2026-08-14</t>
  </si>
  <si>
    <t>INV-1096</t>
  </si>
  <si>
    <t>2026-07-19</t>
  </si>
  <si>
    <t>INV-1097</t>
  </si>
  <si>
    <t>INV-1098</t>
  </si>
  <si>
    <t>INV-1099</t>
  </si>
  <si>
    <t>2026-07-15</t>
  </si>
  <si>
    <t>INV-1100</t>
  </si>
  <si>
    <t>INV-1101</t>
  </si>
  <si>
    <t>INV-1102</t>
  </si>
  <si>
    <t>INV-1103</t>
  </si>
  <si>
    <t>Sum of Total_Amount</t>
  </si>
  <si>
    <t>Total Result</t>
  </si>
  <si>
    <t>Monthly Spend by Category (Total_Amount)</t>
  </si>
  <si>
    <t>Jan</t>
  </si>
  <si>
    <t>Feb</t>
  </si>
  <si>
    <t>Mar</t>
  </si>
  <si>
    <t>Apr</t>
  </si>
  <si>
    <t>May</t>
  </si>
  <si>
    <t>Jun</t>
  </si>
  <si>
    <t>Total</t>
  </si>
  <si>
    <t>Total Spend by Category (overall)</t>
  </si>
  <si>
    <t>Filtered Breakdown (auto-updates with Dashboard month selector)</t>
  </si>
  <si>
    <t>Live Pivot — Category x Payment Status (auto-updates with month selector)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</si>
</sst>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5" x14ac:knownFonts="1">
    <font>
      <sz val="11"/>
      <color theme="1"/>
      <name val="Calibri"/>
      <family val="2"/>
      <charset val="1"/>
    </font>
    <font>
      <b/>
      <sz val="11"/>
      <color theme="1"/>
      <name val="Calibri"/>
      <family val="2"/>
      <charset val="1"/>
    </font>
    <font>
      <b/>
      <sz val="16"/>
      <color rgb="FF1F4E78"/>
      <name val="Arial"/>
      <charset val="1"/>
    </font>
    <font>
      <i/>
      <sz val="10"/>
      <color rgb="FF808080"/>
      <name val="Arial"/>
      <charset val="1"/>
    </font>
    <font>
      <b/>
      <sz val="11"/>
      <name val="Arial"/>
      <charset val="1"/>
    </font>
    <font>
      <sz val="11"/>
      <color rgb="FF0000FF"/>
      <name val="Arial"/>
      <charset val="1"/>
    </font>
    <font>
      <b/>
      <sz val="11"/>
      <color rgb="FFFFFFFF"/>
      <name val="Arial"/>
      <charset val="1"/>
    </font>
    <font>
      <b/>
      <sz val="14"/>
      <color rgb="FF1F4E78"/>
      <name val="Arial"/>
      <charset val="1"/>
    </font>
    <font>
      <b/>
      <sz val="11"/>
      <color rgb="FF1F4E78"/>
      <name val="Arial"/>
      <charset val="1"/>
    </font>
    <font>
      <sz val="11"/>
      <name val="Arial"/>
      <charset val="1"/>
    </font>
    <font>
      <b/>
      <sz val="11"/>
      <name val="Cambria"/>
      <charset val="1"/>
    </font>
    <font>
      <i/>
      <sz val="9"/>
      <color rgb="FF808080"/>
      <name val="Cambria"/>
      <charset val="1"/>
    </font>
    <font>
      <i/>
      <sz val="9"/>
      <color rgb="FF808080"/>
      <name val="Arial"/>
      <charset val="1"/>
    </font>
    <font>
      <b/>
      <sz val="13"/>
      <name val="Arial"/>
      <charset val="1"/>
    </font>
    <font>
      <sz val="11"/>
      <color theme="1"/>
      <name val="Calibri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2E75B6"/>
        <bgColor rgb="FF4672A8"/>
      </patternFill>
    </fill>
    <fill>
      <patternFill patternType="solid">
        <fgColor rgb="FF1F4E78"/>
        <bgColor rgb="FF003366"/>
      </patternFill>
    </fill>
  </fills>
  <borders count="26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7">
    <xf numFmtId="0" fontId="0" fillId="0" borderId="0"/>
    <xf numFmtId="0" fontId="14" fillId="0" borderId="0" applyBorder="0" applyProtection="0"/>
    <xf numFmtId="0" fontId="14" fillId="0" borderId="0" applyBorder="0" applyProtection="0"/>
    <xf numFmtId="0" fontId="14" fillId="0" borderId="0" applyBorder="0" applyProtection="0"/>
    <xf numFmtId="0" fontId="14" fillId="0" borderId="0" applyBorder="0" applyProtection="0">
      <alignment horizontal="left"/>
    </xf>
    <xf numFmtId="0" fontId="1" fillId="0" borderId="0" applyBorder="0" applyProtection="0">
      <alignment horizontal="left"/>
    </xf>
    <xf numFmtId="0" fontId="1" fillId="0" borderId="0" applyBorder="0" applyProtection="0"/>
  </cellStyleXfs>
  <cellXfs count="54">
    <xf numFmtId="0" fontId="0" fillId="0" borderId="0" xfId="0"/>
    <xf numFmtId="164" fontId="7" fillId="0" borderId="0" xfId="0" applyNumberFormat="1" applyFont="1"/>
    <xf numFmtId="3" fontId="7" fillId="0" borderId="0" xfId="0" applyNumberFormat="1" applyFont="1"/>
    <xf numFmtId="0" fontId="6" fillId="3" borderId="0" xfId="0" applyFont="1" applyFill="1" applyAlignment="1">
      <alignment horizontal="center" wrapText="1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/>
    <xf numFmtId="0" fontId="8" fillId="0" borderId="0" xfId="0" applyFont="1"/>
    <xf numFmtId="0" fontId="6" fillId="3" borderId="1" xfId="0" applyFont="1" applyFill="1" applyBorder="1"/>
    <xf numFmtId="0" fontId="9" fillId="0" borderId="1" xfId="0" applyFont="1" applyBorder="1"/>
    <xf numFmtId="3" fontId="9" fillId="0" borderId="1" xfId="0" applyNumberFormat="1" applyFont="1" applyBorder="1"/>
    <xf numFmtId="0" fontId="10" fillId="0" borderId="0" xfId="0" applyFont="1"/>
    <xf numFmtId="3" fontId="10" fillId="0" borderId="1" xfId="0" applyNumberFormat="1" applyFont="1" applyBorder="1"/>
    <xf numFmtId="0" fontId="11" fillId="0" borderId="0" xfId="0" applyFont="1"/>
    <xf numFmtId="0" fontId="12" fillId="0" borderId="0" xfId="0" applyFont="1"/>
    <xf numFmtId="0" fontId="13" fillId="0" borderId="0" xfId="0" applyFont="1"/>
    <xf numFmtId="9" fontId="5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0" fontId="6" fillId="4" borderId="1" xfId="0" applyFont="1" applyFill="1" applyBorder="1" applyAlignment="1">
      <alignment horizontal="center"/>
    </xf>
    <xf numFmtId="0" fontId="14" fillId="0" borderId="2" xfId="1" applyBorder="1"/>
    <xf numFmtId="0" fontId="14" fillId="0" borderId="3" xfId="3" applyBorder="1"/>
    <xf numFmtId="0" fontId="14" fillId="0" borderId="4" xfId="1" applyBorder="1"/>
    <xf numFmtId="0" fontId="14" fillId="0" borderId="5" xfId="1" applyBorder="1"/>
    <xf numFmtId="0" fontId="14" fillId="0" borderId="6" xfId="3" applyBorder="1"/>
    <xf numFmtId="0" fontId="14" fillId="0" borderId="7" xfId="4" applyBorder="1">
      <alignment horizontal="left"/>
    </xf>
    <xf numFmtId="0" fontId="14" fillId="0" borderId="8" xfId="4" applyBorder="1">
      <alignment horizontal="left"/>
    </xf>
    <xf numFmtId="0" fontId="1" fillId="0" borderId="9" xfId="5" applyBorder="1">
      <alignment horizontal="left"/>
    </xf>
    <xf numFmtId="0" fontId="14" fillId="0" borderId="10" xfId="4" applyBorder="1">
      <alignment horizontal="left"/>
    </xf>
    <xf numFmtId="0" fontId="14" fillId="0" borderId="11" xfId="2" applyBorder="1"/>
    <xf numFmtId="0" fontId="14" fillId="0" borderId="12" xfId="2" applyBorder="1"/>
    <xf numFmtId="0" fontId="14" fillId="0" borderId="13" xfId="2" applyBorder="1"/>
    <xf numFmtId="0" fontId="1" fillId="0" borderId="14" xfId="6" applyBorder="1"/>
    <xf numFmtId="0" fontId="14" fillId="0" borderId="15" xfId="4" applyBorder="1">
      <alignment horizontal="left"/>
    </xf>
    <xf numFmtId="0" fontId="14" fillId="0" borderId="16" xfId="2" applyBorder="1"/>
    <xf numFmtId="0" fontId="14" fillId="0" borderId="0" xfId="2"/>
    <xf numFmtId="0" fontId="14" fillId="0" borderId="17" xfId="2" applyBorder="1"/>
    <xf numFmtId="0" fontId="1" fillId="0" borderId="18" xfId="6" applyBorder="1"/>
    <xf numFmtId="0" fontId="14" fillId="0" borderId="7" xfId="2" applyBorder="1"/>
    <xf numFmtId="0" fontId="14" fillId="0" borderId="8" xfId="2" applyBorder="1"/>
    <xf numFmtId="0" fontId="14" fillId="0" borderId="19" xfId="2" applyBorder="1"/>
    <xf numFmtId="0" fontId="1" fillId="0" borderId="20" xfId="6" applyBorder="1"/>
    <xf numFmtId="0" fontId="1" fillId="0" borderId="21" xfId="5" applyBorder="1">
      <alignment horizontal="left"/>
    </xf>
    <xf numFmtId="0" fontId="1" fillId="0" borderId="22" xfId="6" applyBorder="1"/>
    <xf numFmtId="0" fontId="1" fillId="0" borderId="23" xfId="6" applyBorder="1"/>
    <xf numFmtId="0" fontId="1" fillId="0" borderId="24" xfId="6" applyBorder="1"/>
    <xf numFmtId="0" fontId="1" fillId="0" borderId="25" xfId="6" applyBorder="1"/>
    <xf numFmtId="0" fontId="9" fillId="0" borderId="0" xfId="0" applyFont="1" applyAlignment="1">
      <alignment horizontal="center"/>
    </xf>
    <xf numFmtId="0" fontId="6" fillId="4" borderId="1" xfId="0" applyFont="1" applyFill="1" applyBorder="1" applyAlignment="1">
      <alignment horizontal="center" vertical="center"/>
    </xf>
    <xf numFmtId="0" fontId="6" fillId="4" borderId="0" xfId="0" applyFont="1" applyFill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0" fillId="0" borderId="0" xfId="0" applyFont="1" applyAlignment="1">
      <alignment horizontal="center"/>
    </xf>
  </cellXfs>
  <cellStyles count="7">
    <cellStyle name="Normal" xfId="0" builtinId="0"/>
    <cellStyle name="Pivot Table Category" xfId="4" xr:uid="{00000000-0005-0000-0000-000009000000}"/>
    <cellStyle name="Pivot Table Corner" xfId="1" xr:uid="{00000000-0005-0000-0000-000006000000}"/>
    <cellStyle name="Pivot Table Field" xfId="3" xr:uid="{00000000-0005-0000-0000-000008000000}"/>
    <cellStyle name="Pivot Table Result" xfId="6" xr:uid="{00000000-0005-0000-0000-00000B000000}"/>
    <cellStyle name="Pivot Table Title" xfId="5" xr:uid="{00000000-0005-0000-0000-00000A000000}"/>
    <cellStyle name="Pivot Table Value" xfId="2" xr:uid="{00000000-0005-0000-0000-000007000000}"/>
  </cellStyles>
  <dxfs count="4">
    <dxf>
      <font>
        <b/>
        <color rgb="FFC00000"/>
      </font>
    </dxf>
    <dxf>
      <fill>
        <patternFill>
          <bgColor rgb="FFC6E0B4"/>
        </patternFill>
      </fill>
    </dxf>
    <dxf>
      <fill>
        <patternFill>
          <bgColor rgb="FFFFE699"/>
        </patternFill>
      </fill>
    </dxf>
    <dxf>
      <fill>
        <patternFill>
          <bgColor rgb="FFF8CBAD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AA64F"/>
      <rgbColor rgb="FF800080"/>
      <rgbColor rgb="FF4F81BD"/>
      <rgbColor rgb="FFB3B3B3"/>
      <rgbColor rgb="FF808080"/>
      <rgbColor rgb="FF93A9CE"/>
      <rgbColor rgb="FFAB4744"/>
      <rgbColor rgb="FFFFFFCC"/>
      <rgbColor rgb="FFCCFFFF"/>
      <rgbColor rgb="FF660066"/>
      <rgbColor rgb="FFDC853E"/>
      <rgbColor rgb="FF4672A8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0B4"/>
      <rgbColor rgb="FFFFE699"/>
      <rgbColor rgb="FFB8CD97"/>
      <rgbColor rgb="FFD09493"/>
      <rgbColor rgb="FFCC99FF"/>
      <rgbColor rgb="FFF8CBAD"/>
      <rgbColor rgb="FF2E75B6"/>
      <rgbColor rgb="FF33CCCC"/>
      <rgbColor rgb="FF9BBB59"/>
      <rgbColor rgb="FFFFCC00"/>
      <rgbColor rgb="FFFF9900"/>
      <rgbColor rgb="FFFF6600"/>
      <rgbColor rgb="FF725990"/>
      <rgbColor rgb="FFB0B0B0"/>
      <rgbColor rgb="FF003366"/>
      <rgbColor rgb="FF4299B0"/>
      <rgbColor rgb="FF003300"/>
      <rgbColor rgb="FF333300"/>
      <rgbColor rgb="FF993300"/>
      <rgbColor rgb="FFC0504D"/>
      <rgbColor rgb="FF1F4E78"/>
      <rgbColor rgb="FF595959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Spend by Category — Selected Month (live)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Summary!$B$37</c:f>
              <c:strCache>
                <c:ptCount val="1"/>
                <c:pt idx="0">
                  <c:v>668113.92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Summary!$A$38:$A$46</c:f>
              <c:strCache>
                <c:ptCount val="9"/>
                <c:pt idx="0">
                  <c:v>Insurance</c:v>
                </c:pt>
                <c:pt idx="1">
                  <c:v>Landscaping</c:v>
                </c:pt>
                <c:pt idx="2">
                  <c:v>Maintenance</c:v>
                </c:pt>
                <c:pt idx="3">
                  <c:v>Marketing</c:v>
                </c:pt>
                <c:pt idx="4">
                  <c:v>Office Supplies</c:v>
                </c:pt>
                <c:pt idx="5">
                  <c:v>Professional Fees</c:v>
                </c:pt>
                <c:pt idx="6">
                  <c:v>Repairs</c:v>
                </c:pt>
                <c:pt idx="7">
                  <c:v>Security</c:v>
                </c:pt>
                <c:pt idx="8">
                  <c:v>Utilities</c:v>
                </c:pt>
              </c:strCache>
            </c:strRef>
          </c:cat>
          <c:val>
            <c:numRef>
              <c:f>Summary!$B$38:$B$46</c:f>
              <c:numCache>
                <c:formatCode>General</c:formatCode>
                <c:ptCount val="9"/>
                <c:pt idx="0">
                  <c:v>389418.04000000004</c:v>
                </c:pt>
                <c:pt idx="1">
                  <c:v>560532.66</c:v>
                </c:pt>
                <c:pt idx="2">
                  <c:v>1159970.4099999997</c:v>
                </c:pt>
                <c:pt idx="3">
                  <c:v>266621.28999999998</c:v>
                </c:pt>
                <c:pt idx="4">
                  <c:v>257935.96</c:v>
                </c:pt>
                <c:pt idx="5">
                  <c:v>923078.62999999989</c:v>
                </c:pt>
                <c:pt idx="6">
                  <c:v>566523.9</c:v>
                </c:pt>
                <c:pt idx="7">
                  <c:v>538253.66</c:v>
                </c:pt>
                <c:pt idx="8">
                  <c:v>622521.19999999995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AF-4612-8D4B-6A887F98B2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4209245"/>
        <c:axId val="95458778"/>
      </c:barChart>
      <c:catAx>
        <c:axId val="4420924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Category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5458778"/>
        <c:crosses val="autoZero"/>
        <c:auto val="1"/>
        <c:lblAlgn val="ctr"/>
        <c:lblOffset val="100"/>
        <c:noMultiLvlLbl val="0"/>
      </c:catAx>
      <c:valAx>
        <c:axId val="95458778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Amount (₹)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420924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Spend Share by Category — Selected Month (live)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Summary!$B$37</c:f>
              <c:strCache>
                <c:ptCount val="1"/>
                <c:pt idx="0">
                  <c:v>668113.92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spPr>
              <a:solidFill>
                <a:srgbClr val="4672A8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1-D429-42EA-8BE8-5A3E3F681A94}"/>
              </c:ext>
            </c:extLst>
          </c:dPt>
          <c:dPt>
            <c:idx val="1"/>
            <c:bubble3D val="0"/>
            <c:spPr>
              <a:solidFill>
                <a:srgbClr val="AB4744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D429-42EA-8BE8-5A3E3F681A94}"/>
              </c:ext>
            </c:extLst>
          </c:dPt>
          <c:dPt>
            <c:idx val="2"/>
            <c:bubble3D val="0"/>
            <c:spPr>
              <a:solidFill>
                <a:srgbClr val="8AA64F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D429-42EA-8BE8-5A3E3F681A94}"/>
              </c:ext>
            </c:extLst>
          </c:dPt>
          <c:dPt>
            <c:idx val="3"/>
            <c:bubble3D val="0"/>
            <c:spPr>
              <a:solidFill>
                <a:srgbClr val="725990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7-D429-42EA-8BE8-5A3E3F681A94}"/>
              </c:ext>
            </c:extLst>
          </c:dPt>
          <c:dPt>
            <c:idx val="4"/>
            <c:bubble3D val="0"/>
            <c:spPr>
              <a:solidFill>
                <a:srgbClr val="4299B0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9-D429-42EA-8BE8-5A3E3F681A94}"/>
              </c:ext>
            </c:extLst>
          </c:dPt>
          <c:dPt>
            <c:idx val="5"/>
            <c:bubble3D val="0"/>
            <c:spPr>
              <a:solidFill>
                <a:srgbClr val="DC853E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B-D429-42EA-8BE8-5A3E3F681A94}"/>
              </c:ext>
            </c:extLst>
          </c:dPt>
          <c:dPt>
            <c:idx val="6"/>
            <c:bubble3D val="0"/>
            <c:spPr>
              <a:solidFill>
                <a:srgbClr val="93A9CE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D-D429-42EA-8BE8-5A3E3F681A94}"/>
              </c:ext>
            </c:extLst>
          </c:dPt>
          <c:dPt>
            <c:idx val="7"/>
            <c:bubble3D val="0"/>
            <c:spPr>
              <a:solidFill>
                <a:srgbClr val="D09493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F-D429-42EA-8BE8-5A3E3F681A94}"/>
              </c:ext>
            </c:extLst>
          </c:dPt>
          <c:dPt>
            <c:idx val="8"/>
            <c:bubble3D val="0"/>
            <c:spPr>
              <a:solidFill>
                <a:srgbClr val="B8CD97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11-D429-42EA-8BE8-5A3E3F681A94}"/>
              </c:ext>
            </c:extLst>
          </c:dPt>
          <c:dLbls>
            <c:dLbl>
              <c:idx val="0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1-D429-42EA-8BE8-5A3E3F681A94}"/>
                </c:ext>
              </c:extLst>
            </c:dLbl>
            <c:dLbl>
              <c:idx val="1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3-D429-42EA-8BE8-5A3E3F681A94}"/>
                </c:ext>
              </c:extLst>
            </c:dLbl>
            <c:dLbl>
              <c:idx val="2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5-D429-42EA-8BE8-5A3E3F681A94}"/>
                </c:ext>
              </c:extLst>
            </c:dLbl>
            <c:dLbl>
              <c:idx val="3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7-D429-42EA-8BE8-5A3E3F681A94}"/>
                </c:ext>
              </c:extLst>
            </c:dLbl>
            <c:dLbl>
              <c:idx val="4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9-D429-42EA-8BE8-5A3E3F681A94}"/>
                </c:ext>
              </c:extLst>
            </c:dLbl>
            <c:dLbl>
              <c:idx val="5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B-D429-42EA-8BE8-5A3E3F681A94}"/>
                </c:ext>
              </c:extLst>
            </c:dLbl>
            <c:dLbl>
              <c:idx val="6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D-D429-42EA-8BE8-5A3E3F681A94}"/>
                </c:ext>
              </c:extLst>
            </c:dLbl>
            <c:dLbl>
              <c:idx val="7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F-D429-42EA-8BE8-5A3E3F681A94}"/>
                </c:ext>
              </c:extLst>
            </c:dLbl>
            <c:dLbl>
              <c:idx val="8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11-D429-42EA-8BE8-5A3E3F681A9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Summary!$A$38:$A$46</c:f>
              <c:strCache>
                <c:ptCount val="9"/>
                <c:pt idx="0">
                  <c:v>Insurance</c:v>
                </c:pt>
                <c:pt idx="1">
                  <c:v>Landscaping</c:v>
                </c:pt>
                <c:pt idx="2">
                  <c:v>Maintenance</c:v>
                </c:pt>
                <c:pt idx="3">
                  <c:v>Marketing</c:v>
                </c:pt>
                <c:pt idx="4">
                  <c:v>Office Supplies</c:v>
                </c:pt>
                <c:pt idx="5">
                  <c:v>Professional Fees</c:v>
                </c:pt>
                <c:pt idx="6">
                  <c:v>Repairs</c:v>
                </c:pt>
                <c:pt idx="7">
                  <c:v>Security</c:v>
                </c:pt>
                <c:pt idx="8">
                  <c:v>Utilities</c:v>
                </c:pt>
              </c:strCache>
            </c:strRef>
          </c:cat>
          <c:val>
            <c:numRef>
              <c:f>Summary!$B$38:$B$46</c:f>
              <c:numCache>
                <c:formatCode>General</c:formatCode>
                <c:ptCount val="9"/>
                <c:pt idx="0">
                  <c:v>389418.04000000004</c:v>
                </c:pt>
                <c:pt idx="1">
                  <c:v>560532.66</c:v>
                </c:pt>
                <c:pt idx="2">
                  <c:v>1159970.4099999997</c:v>
                </c:pt>
                <c:pt idx="3">
                  <c:v>266621.28999999998</c:v>
                </c:pt>
                <c:pt idx="4">
                  <c:v>257935.96</c:v>
                </c:pt>
                <c:pt idx="5">
                  <c:v>923078.62999999989</c:v>
                </c:pt>
                <c:pt idx="6">
                  <c:v>566523.9</c:v>
                </c:pt>
                <c:pt idx="7">
                  <c:v>538253.66</c:v>
                </c:pt>
                <c:pt idx="8">
                  <c:v>622521.19999999995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D429-42EA-8BE8-5A3E3F681A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PivotTable_Analysis!$B$3:$B$4</c:f>
              <c:strCache>
                <c:ptCount val="2"/>
                <c:pt idx="0">
                  <c:v>Payment_Status</c:v>
                </c:pt>
                <c:pt idx="1">
                  <c:v>Overdue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PivotTable_Analysis!$A$5:$A$15</c:f>
              <c:strCache>
                <c:ptCount val="11"/>
                <c:pt idx="0">
                  <c:v>Housekeeping</c:v>
                </c:pt>
                <c:pt idx="1">
                  <c:v>Insurance</c:v>
                </c:pt>
                <c:pt idx="2">
                  <c:v>Landscaping</c:v>
                </c:pt>
                <c:pt idx="3">
                  <c:v>Maintenance</c:v>
                </c:pt>
                <c:pt idx="4">
                  <c:v>Marketing</c:v>
                </c:pt>
                <c:pt idx="5">
                  <c:v>Office Supplies</c:v>
                </c:pt>
                <c:pt idx="6">
                  <c:v>Professional Fees</c:v>
                </c:pt>
                <c:pt idx="7">
                  <c:v>Repairs</c:v>
                </c:pt>
                <c:pt idx="8">
                  <c:v>Security</c:v>
                </c:pt>
                <c:pt idx="9">
                  <c:v>Utilities</c:v>
                </c:pt>
                <c:pt idx="10">
                  <c:v>Total Result</c:v>
                </c:pt>
              </c:strCache>
            </c:strRef>
          </c:cat>
          <c:val>
            <c:numRef>
              <c:f>PivotTable_Analysis!$B$5:$B$15</c:f>
              <c:numCache>
                <c:formatCode>General</c:formatCode>
                <c:ptCount val="11"/>
                <c:pt idx="0">
                  <c:v>176514.52</c:v>
                </c:pt>
                <c:pt idx="1">
                  <c:v>69289.95</c:v>
                </c:pt>
                <c:pt idx="2">
                  <c:v>11947.51</c:v>
                </c:pt>
                <c:pt idx="3">
                  <c:v>202823.67999999999</c:v>
                </c:pt>
                <c:pt idx="4">
                  <c:v>18233.18</c:v>
                </c:pt>
                <c:pt idx="5">
                  <c:v>31378.58</c:v>
                </c:pt>
                <c:pt idx="6">
                  <c:v>111661.83</c:v>
                </c:pt>
                <c:pt idx="7">
                  <c:v>61735.58</c:v>
                </c:pt>
                <c:pt idx="8">
                  <c:v>93918.83</c:v>
                </c:pt>
                <c:pt idx="9">
                  <c:v>31985.69</c:v>
                </c:pt>
                <c:pt idx="10">
                  <c:v>809489.35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C87-49CE-BBC5-DB5912BC8627}"/>
            </c:ext>
          </c:extLst>
        </c:ser>
        <c:ser>
          <c:idx val="1"/>
          <c:order val="1"/>
          <c:tx>
            <c:strRef>
              <c:f>PivotTable_Analysis!$C$3:$C$4</c:f>
              <c:strCache>
                <c:ptCount val="2"/>
                <c:pt idx="0">
                  <c:v>Payment_Status</c:v>
                </c:pt>
                <c:pt idx="1">
                  <c:v>Paid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PivotTable_Analysis!$A$5:$A$15</c:f>
              <c:strCache>
                <c:ptCount val="11"/>
                <c:pt idx="0">
                  <c:v>Housekeeping</c:v>
                </c:pt>
                <c:pt idx="1">
                  <c:v>Insurance</c:v>
                </c:pt>
                <c:pt idx="2">
                  <c:v>Landscaping</c:v>
                </c:pt>
                <c:pt idx="3">
                  <c:v>Maintenance</c:v>
                </c:pt>
                <c:pt idx="4">
                  <c:v>Marketing</c:v>
                </c:pt>
                <c:pt idx="5">
                  <c:v>Office Supplies</c:v>
                </c:pt>
                <c:pt idx="6">
                  <c:v>Professional Fees</c:v>
                </c:pt>
                <c:pt idx="7">
                  <c:v>Repairs</c:v>
                </c:pt>
                <c:pt idx="8">
                  <c:v>Security</c:v>
                </c:pt>
                <c:pt idx="9">
                  <c:v>Utilities</c:v>
                </c:pt>
                <c:pt idx="10">
                  <c:v>Total Result</c:v>
                </c:pt>
              </c:strCache>
            </c:strRef>
          </c:cat>
          <c:val>
            <c:numRef>
              <c:f>PivotTable_Analysis!$C$5:$C$15</c:f>
              <c:numCache>
                <c:formatCode>General</c:formatCode>
                <c:ptCount val="11"/>
                <c:pt idx="0">
                  <c:v>383814.6</c:v>
                </c:pt>
                <c:pt idx="1">
                  <c:v>192487.37</c:v>
                </c:pt>
                <c:pt idx="2">
                  <c:v>458479.15</c:v>
                </c:pt>
                <c:pt idx="3">
                  <c:v>927746</c:v>
                </c:pt>
                <c:pt idx="4">
                  <c:v>119719.48</c:v>
                </c:pt>
                <c:pt idx="5">
                  <c:v>226557.38</c:v>
                </c:pt>
                <c:pt idx="6">
                  <c:v>652777.28</c:v>
                </c:pt>
                <c:pt idx="7">
                  <c:v>504788.32</c:v>
                </c:pt>
                <c:pt idx="8">
                  <c:v>390893.44</c:v>
                </c:pt>
                <c:pt idx="9">
                  <c:v>488193.49</c:v>
                </c:pt>
                <c:pt idx="10">
                  <c:v>4345456.51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C87-49CE-BBC5-DB5912BC8627}"/>
            </c:ext>
          </c:extLst>
        </c:ser>
        <c:ser>
          <c:idx val="2"/>
          <c:order val="2"/>
          <c:tx>
            <c:strRef>
              <c:f>PivotTable_Analysis!$D$3:$D$4</c:f>
              <c:strCache>
                <c:ptCount val="2"/>
                <c:pt idx="0">
                  <c:v>Payment_Status</c:v>
                </c:pt>
                <c:pt idx="1">
                  <c:v>Pending</c:v>
                </c:pt>
              </c:strCache>
            </c:strRef>
          </c:tx>
          <c:spPr>
            <a:solidFill>
              <a:srgbClr val="9BBB59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PivotTable_Analysis!$A$5:$A$15</c:f>
              <c:strCache>
                <c:ptCount val="11"/>
                <c:pt idx="0">
                  <c:v>Housekeeping</c:v>
                </c:pt>
                <c:pt idx="1">
                  <c:v>Insurance</c:v>
                </c:pt>
                <c:pt idx="2">
                  <c:v>Landscaping</c:v>
                </c:pt>
                <c:pt idx="3">
                  <c:v>Maintenance</c:v>
                </c:pt>
                <c:pt idx="4">
                  <c:v>Marketing</c:v>
                </c:pt>
                <c:pt idx="5">
                  <c:v>Office Supplies</c:v>
                </c:pt>
                <c:pt idx="6">
                  <c:v>Professional Fees</c:v>
                </c:pt>
                <c:pt idx="7">
                  <c:v>Repairs</c:v>
                </c:pt>
                <c:pt idx="8">
                  <c:v>Security</c:v>
                </c:pt>
                <c:pt idx="9">
                  <c:v>Utilities</c:v>
                </c:pt>
                <c:pt idx="10">
                  <c:v>Total Result</c:v>
                </c:pt>
              </c:strCache>
            </c:strRef>
          </c:cat>
          <c:val>
            <c:numRef>
              <c:f>PivotTable_Analysis!$D$5:$D$15</c:f>
              <c:numCache>
                <c:formatCode>General</c:formatCode>
                <c:ptCount val="11"/>
                <c:pt idx="0">
                  <c:v>107784.8</c:v>
                </c:pt>
                <c:pt idx="1">
                  <c:v>127640.72</c:v>
                </c:pt>
                <c:pt idx="2">
                  <c:v>90106</c:v>
                </c:pt>
                <c:pt idx="3">
                  <c:v>29400.73</c:v>
                </c:pt>
                <c:pt idx="4">
                  <c:v>128668.63</c:v>
                </c:pt>
                <c:pt idx="6">
                  <c:v>158639.51999999999</c:v>
                </c:pt>
                <c:pt idx="8">
                  <c:v>53441.39</c:v>
                </c:pt>
                <c:pt idx="9">
                  <c:v>102342.02</c:v>
                </c:pt>
                <c:pt idx="10">
                  <c:v>798023.81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C87-49CE-BBC5-DB5912BC86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7667188"/>
        <c:axId val="78928101"/>
      </c:barChart>
      <c:catAx>
        <c:axId val="4766718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78928101"/>
        <c:crosses val="autoZero"/>
        <c:auto val="1"/>
        <c:lblAlgn val="ctr"/>
        <c:lblOffset val="100"/>
        <c:noMultiLvlLbl val="0"/>
      </c:catAx>
      <c:valAx>
        <c:axId val="78928101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4766718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900" b="0" strike="noStrike" spc="-1">
              <a:solidFill>
                <a:srgbClr val="595959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23</xdr:row>
      <xdr:rowOff>0</xdr:rowOff>
    </xdr:from>
    <xdr:to>
      <xdr:col>5</xdr:col>
      <xdr:colOff>840960</xdr:colOff>
      <xdr:row>40</xdr:row>
      <xdr:rowOff>1080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0</xdr:colOff>
      <xdr:row>23</xdr:row>
      <xdr:rowOff>0</xdr:rowOff>
    </xdr:from>
    <xdr:to>
      <xdr:col>17</xdr:col>
      <xdr:colOff>127440</xdr:colOff>
      <xdr:row>40</xdr:row>
      <xdr:rowOff>1080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19080</xdr:colOff>
      <xdr:row>2</xdr:row>
      <xdr:rowOff>4680</xdr:rowOff>
    </xdr:from>
    <xdr:to>
      <xdr:col>15</xdr:col>
      <xdr:colOff>580680</xdr:colOff>
      <xdr:row>21</xdr:row>
      <xdr:rowOff>18720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Date="0" createdVersion="3" recordCount="103" xr:uid="{00000000-000A-0000-FFFF-FFFF01000000}">
  <cacheSource type="worksheet">
    <worksheetSource ref="A1:P104" sheet="Raw_Data"/>
  </cacheSource>
  <cacheFields count="16">
    <cacheField name="Invoice_No" numFmtId="0">
      <sharedItems count="103">
        <s v="INV-1001"/>
        <s v="INV-1002"/>
        <s v="INV-1003"/>
        <s v="INV-1004"/>
        <s v="INV-1005"/>
        <s v="INV-1006"/>
        <s v="INV-1007"/>
        <s v="INV-1008"/>
        <s v="INV-1009"/>
        <s v="INV-1010"/>
        <s v="INV-1011"/>
        <s v="INV-1012"/>
        <s v="INV-1013"/>
        <s v="INV-1014"/>
        <s v="INV-1015"/>
        <s v="INV-1016"/>
        <s v="INV-1017"/>
        <s v="INV-1018"/>
        <s v="INV-1019"/>
        <s v="INV-1020"/>
        <s v="INV-1021"/>
        <s v="INV-1022"/>
        <s v="INV-1023"/>
        <s v="INV-1024"/>
        <s v="INV-1025"/>
        <s v="INV-1026"/>
        <s v="INV-1027"/>
        <s v="INV-1028"/>
        <s v="INV-1029"/>
        <s v="INV-1030"/>
        <s v="INV-1031"/>
        <s v="INV-1032"/>
        <s v="INV-1033"/>
        <s v="INV-1034"/>
        <s v="INV-1035"/>
        <s v="INV-1036"/>
        <s v="INV-1037"/>
        <s v="INV-1038"/>
        <s v="INV-1039"/>
        <s v="INV-1040"/>
        <s v="INV-1041"/>
        <s v="INV-1042"/>
        <s v="INV-1043"/>
        <s v="INV-1044"/>
        <s v="INV-1045"/>
        <s v="INV-1046"/>
        <s v="INV-1047"/>
        <s v="INV-1048"/>
        <s v="INV-1049"/>
        <s v="INV-1050"/>
        <s v="INV-1051"/>
        <s v="INV-1052"/>
        <s v="INV-1053"/>
        <s v="INV-1054"/>
        <s v="INV-1055"/>
        <s v="INV-1056"/>
        <s v="INV-1057"/>
        <s v="INV-1058"/>
        <s v="INV-1059"/>
        <s v="INV-1060"/>
        <s v="INV-1061"/>
        <s v="INV-1062"/>
        <s v="INV-1063"/>
        <s v="INV-1064"/>
        <s v="INV-1065"/>
        <s v="INV-1066"/>
        <s v="INV-1067"/>
        <s v="INV-1068"/>
        <s v="INV-1069"/>
        <s v="INV-1070"/>
        <s v="INV-1071"/>
        <s v="INV-1072"/>
        <s v="INV-1073"/>
        <s v="INV-1074"/>
        <s v="INV-1075"/>
        <s v="INV-1076"/>
        <s v="INV-1077"/>
        <s v="INV-1078"/>
        <s v="INV-1079"/>
        <s v="INV-1080"/>
        <s v="INV-1081"/>
        <s v="INV-1082"/>
        <s v="INV-1083"/>
        <s v="INV-1084"/>
        <s v="INV-1085"/>
        <s v="INV-1086"/>
        <s v="INV-1087"/>
        <s v="INV-1088"/>
        <s v="INV-1089"/>
        <s v="INV-1090"/>
        <s v="INV-1091"/>
        <s v="INV-1092"/>
        <s v="INV-1093"/>
        <s v="INV-1094"/>
        <s v="INV-1095"/>
        <s v="INV-1096"/>
        <s v="INV-1097"/>
        <s v="INV-1098"/>
        <s v="INV-1099"/>
        <s v="INV-1100"/>
        <s v="INV-1101"/>
        <s v="INV-1102"/>
        <s v="INV-1103"/>
      </sharedItems>
    </cacheField>
    <cacheField name="Vendor_Name" numFmtId="0">
      <sharedItems count="12">
        <s v="Apex Security Solutions"/>
        <s v="BrightWay Office Supplies"/>
        <s v="Capital Insurance Brokers"/>
        <s v="Clean &amp; Clear Housekeeping"/>
        <s v="Crystal Water Treatment"/>
        <s v="Delhi Power Utilities Pvt Ltd"/>
        <s v="GreenScape Landscaping"/>
        <s v="Nexus Professional Consultants"/>
        <s v="Reliable Repairs Co"/>
        <s v="SafeGuard Fire &amp; Safety"/>
        <s v="Shree Maintenance Services"/>
        <s v="UrbanEdge Marketing"/>
      </sharedItems>
    </cacheField>
    <cacheField name="Property_Unit" numFmtId="0">
      <sharedItems count="4">
        <s v="Commercial Block"/>
        <s v="Retail Plaza"/>
        <s v="Tower A"/>
        <s v="Tower B"/>
      </sharedItems>
    </cacheField>
    <cacheField name="Invoice_Date" numFmtId="0">
      <sharedItems count="71">
        <s v="2026-01-01"/>
        <s v="2026-01-03"/>
        <s v="2026-01-08"/>
        <s v="2026-01-13"/>
        <s v="2026-01-20"/>
        <s v="2026-01-22"/>
        <s v="2026-01-23"/>
        <s v="2026-01-24"/>
        <s v="2026-01-25"/>
        <s v="2026-01-28"/>
        <s v="2026-02-01"/>
        <s v="2026-02-02"/>
        <s v="2026-02-04"/>
        <s v="2026-02-05"/>
        <s v="2026-02-06"/>
        <s v="2026-02-07"/>
        <s v="2026-02-12"/>
        <s v="2026-02-14"/>
        <s v="2026-02-15"/>
        <s v="2026-02-17"/>
        <s v="2026-02-20"/>
        <s v="2026-02-22"/>
        <s v="2026-02-23"/>
        <s v="2026-02-25"/>
        <s v="2026-02-26"/>
        <s v="2026-02-28"/>
        <s v="2026-03-02"/>
        <s v="2026-03-04"/>
        <s v="2026-03-08"/>
        <s v="2026-03-13"/>
        <s v="2026-03-17"/>
        <s v="2026-03-19"/>
        <s v="2026-03-20"/>
        <s v="2026-03-25"/>
        <s v="2026-03-26"/>
        <s v="2026-03-28"/>
        <s v="2026-03-30"/>
        <s v="2026-04-03"/>
        <s v="2026-04-09"/>
        <s v="2026-04-10"/>
        <s v="2026-04-11"/>
        <s v="2026-04-13"/>
        <s v="2026-04-18"/>
        <s v="2026-04-25"/>
        <s v="2026-04-27"/>
        <s v="2026-04-30"/>
        <s v="2026-05-02"/>
        <s v="2026-05-04"/>
        <s v="2026-05-07"/>
        <s v="2026-05-10"/>
        <s v="2026-05-15"/>
        <s v="2026-05-16"/>
        <s v="2026-05-17"/>
        <s v="2026-05-18"/>
        <s v="2026-05-20"/>
        <s v="2026-05-25"/>
        <s v="2026-05-26"/>
        <s v="2026-05-27"/>
        <s v="2026-05-31"/>
        <s v="2026-06-03"/>
        <s v="2026-06-08"/>
        <s v="2026-06-11"/>
        <s v="2026-06-17"/>
        <s v="2026-06-18"/>
        <s v="2026-06-19"/>
        <s v="2026-06-22"/>
        <s v="2026-06-23"/>
        <s v="2026-06-24"/>
        <s v="2026-06-25"/>
        <s v="2026-06-29"/>
        <s v="2026-06-30"/>
      </sharedItems>
    </cacheField>
    <cacheField name="Due_Date" numFmtId="0">
      <sharedItems count="72">
        <s v="2026-01-31"/>
        <s v="2026-02-02"/>
        <s v="2026-02-07"/>
        <s v="2026-02-12"/>
        <s v="2026-02-16"/>
        <s v="2026-02-19"/>
        <s v="2026-02-21"/>
        <s v="2026-02-22"/>
        <s v="2026-02-23"/>
        <s v="2026-02-24"/>
        <s v="2026-02-27"/>
        <s v="2026-03-01"/>
        <s v="2026-03-04"/>
        <s v="2026-03-07"/>
        <s v="2026-03-16"/>
        <s v="2026-03-17"/>
        <s v="2026-03-18"/>
        <s v="2026-03-21"/>
        <s v="2026-03-23"/>
        <s v="2026-03-24"/>
        <s v="2026-03-25"/>
        <s v="2026-03-27"/>
        <s v="2026-03-28"/>
        <s v="2026-03-30"/>
        <s v="2026-04-03"/>
        <s v="2026-04-08"/>
        <s v="2026-04-09"/>
        <s v="2026-04-10"/>
        <s v="2026-04-12"/>
        <s v="2026-04-16"/>
        <s v="2026-04-18"/>
        <s v="2026-04-19"/>
        <s v="2026-04-22"/>
        <s v="2026-04-25"/>
        <s v="2026-04-29"/>
        <s v="2026-05-03"/>
        <s v="2026-05-09"/>
        <s v="2026-05-10"/>
        <s v="2026-05-11"/>
        <s v="2026-05-12"/>
        <s v="2026-05-13"/>
        <s v="2026-05-17"/>
        <s v="2026-05-18"/>
        <s v="2026-05-30"/>
        <s v="2026-06-02"/>
        <s v="2026-06-03"/>
        <s v="2026-06-10"/>
        <s v="2026-06-11"/>
        <s v="2026-06-14"/>
        <s v="2026-06-15"/>
        <s v="2026-06-16"/>
        <s v="2026-06-17"/>
        <s v="2026-06-21"/>
        <s v="2026-06-24"/>
        <s v="2026-06-26"/>
        <s v="2026-06-30"/>
        <s v="2026-07-01"/>
        <s v="2026-07-02"/>
        <s v="2026-07-03"/>
        <s v="2026-07-04"/>
        <s v="2026-07-07"/>
        <s v="2026-07-08"/>
        <s v="2026-07-09"/>
        <s v="2026-07-10"/>
        <s v="2026-07-14"/>
        <s v="2026-07-15"/>
        <s v="2026-07-17"/>
        <s v="2026-07-30"/>
        <s v="2026-08-01"/>
        <s v="2026-08-03"/>
        <s v="2026-08-07"/>
        <s v="2026-08-14"/>
      </sharedItems>
    </cacheField>
    <cacheField name="Amount" numFmtId="0">
      <sharedItems containsSemiMixedTypes="0" containsString="0" containsNumber="1" minValue="8282.34" maxValue="94767.34" count="103">
        <n v="8282.34"/>
        <n v="8308.4699999999993"/>
        <n v="10125.01"/>
        <n v="10346.08"/>
        <n v="11639.11"/>
        <n v="13526.91"/>
        <n v="14855.62"/>
        <n v="15451.85"/>
        <n v="16124.69"/>
        <n v="16206.34"/>
        <n v="17539.47"/>
        <n v="18558.2"/>
        <n v="18941.16"/>
        <n v="19523.72"/>
        <n v="21723.97"/>
        <n v="23535.4"/>
        <n v="24668.34"/>
        <n v="24915.87"/>
        <n v="25305.27"/>
        <n v="26276.66"/>
        <n v="26592.02"/>
        <n v="27021.5"/>
        <n v="27106.52"/>
        <n v="28119.75"/>
        <n v="29298.55"/>
        <n v="29733.16"/>
        <n v="30549.66"/>
        <n v="30858.52"/>
        <n v="31008.54"/>
        <n v="31013.32"/>
        <n v="31639.21"/>
        <n v="32183.7"/>
        <n v="32238.47"/>
        <n v="34182.639999999999"/>
        <n v="35524.18"/>
        <n v="35604.92"/>
        <n v="36479.68"/>
        <n v="36786.68"/>
        <n v="37283.730000000003"/>
        <n v="39462.25"/>
        <n v="40487.58"/>
        <n v="40970.660000000003"/>
        <n v="41512"/>
        <n v="42433.37"/>
        <n v="43175.55"/>
        <n v="43354.83"/>
        <n v="43358.02"/>
        <n v="43530.18"/>
        <n v="44552.49"/>
        <n v="44578.83"/>
        <n v="45289.31"/>
        <n v="46439.69"/>
        <n v="47081.19"/>
        <n v="47920.11"/>
        <n v="48950.03"/>
        <n v="49480.6"/>
        <n v="50250.85"/>
        <n v="50502.27"/>
        <n v="52318.29"/>
        <n v="52731.58"/>
        <n v="53233.07"/>
        <n v="53907.62"/>
        <n v="55466.36"/>
        <n v="58388.69"/>
        <n v="59182.86"/>
        <n v="59723.17"/>
        <n v="59768.05"/>
        <n v="60620.19"/>
        <n v="62040.86"/>
        <n v="62214.52"/>
        <n v="62527.11"/>
        <n v="62905.96"/>
        <n v="64736.61"/>
        <n v="65320.01"/>
        <n v="67823.149999999994"/>
        <n v="68603.460000000006"/>
        <n v="69058.37"/>
        <n v="70931.67"/>
        <n v="71383.42"/>
        <n v="71429.600000000006"/>
        <n v="71504"/>
        <n v="71913.16"/>
        <n v="72514.89"/>
        <n v="73326.37"/>
        <n v="74858.570000000007"/>
        <n v="75256.95"/>
        <n v="76361.02"/>
        <n v="78106.27"/>
        <n v="78537.14"/>
        <n v="79088.06"/>
        <n v="79386.67"/>
        <n v="79496.83"/>
        <n v="80259.520000000004"/>
        <n v="84243.98"/>
        <n v="84448.8"/>
        <n v="85619.62"/>
        <n v="87398.62"/>
        <n v="88251.77"/>
        <n v="88980.98"/>
        <n v="90018.52"/>
        <n v="91343.05"/>
        <n v="92483.82"/>
        <n v="94767.34"/>
      </sharedItems>
    </cacheField>
    <cacheField name="GST_Amount" numFmtId="0">
      <sharedItems containsSemiMixedTypes="0" containsString="0" containsNumber="1" minValue="1490.82" maxValue="17058.12" count="103">
        <n v="1490.82"/>
        <n v="1495.52"/>
        <n v="1822.5"/>
        <n v="1862.29"/>
        <n v="2095.04"/>
        <n v="2434.84"/>
        <n v="2674.01"/>
        <n v="2781.33"/>
        <n v="2902.44"/>
        <n v="2917.14"/>
        <n v="3157.1"/>
        <n v="3340.48"/>
        <n v="3409.41"/>
        <n v="3514.27"/>
        <n v="3910.31"/>
        <n v="4236.37"/>
        <n v="4440.3"/>
        <n v="4484.8599999999997"/>
        <n v="4554.95"/>
        <n v="4729.8"/>
        <n v="4786.5600000000004"/>
        <n v="4863.87"/>
        <n v="4879.17"/>
        <n v="5061.55"/>
        <n v="5273.74"/>
        <n v="5351.97"/>
        <n v="5498.94"/>
        <n v="5554.53"/>
        <n v="5581.54"/>
        <n v="5582.4"/>
        <n v="5695.06"/>
        <n v="5793.07"/>
        <n v="5802.92"/>
        <n v="6152.88"/>
        <n v="6394.35"/>
        <n v="6408.89"/>
        <n v="6566.34"/>
        <n v="6621.6"/>
        <n v="6711.07"/>
        <n v="7103.2"/>
        <n v="7287.76"/>
        <n v="7374.72"/>
        <n v="7472.16"/>
        <n v="7638.01"/>
        <n v="7771.6"/>
        <n v="7803.87"/>
        <n v="7804.44"/>
        <n v="7835.43"/>
        <n v="8019.45"/>
        <n v="8024.19"/>
        <n v="8152.08"/>
        <n v="8359.14"/>
        <n v="8474.61"/>
        <n v="8625.6200000000008"/>
        <n v="8811.01"/>
        <n v="8906.51"/>
        <n v="9045.15"/>
        <n v="9090.41"/>
        <n v="9417.2900000000009"/>
        <n v="9491.68"/>
        <n v="9581.9500000000007"/>
        <n v="9703.3700000000008"/>
        <n v="9983.94"/>
        <n v="10509.96"/>
        <n v="10652.91"/>
        <n v="10750.17"/>
        <n v="10758.25"/>
        <n v="10911.63"/>
        <n v="11167.35"/>
        <n v="11198.61"/>
        <n v="11254.88"/>
        <n v="11323.07"/>
        <n v="11652.59"/>
        <n v="11757.6"/>
        <n v="12208.17"/>
        <n v="12348.62"/>
        <n v="12430.51"/>
        <n v="12767.7"/>
        <n v="12849.02"/>
        <n v="12857.33"/>
        <n v="12870.72"/>
        <n v="12944.37"/>
        <n v="13052.68"/>
        <n v="13198.75"/>
        <n v="13474.54"/>
        <n v="13546.25"/>
        <n v="13744.98"/>
        <n v="14059.13"/>
        <n v="14136.69"/>
        <n v="14235.85"/>
        <n v="14289.6"/>
        <n v="14309.43"/>
        <n v="14446.71"/>
        <n v="15163.92"/>
        <n v="15200.78"/>
        <n v="15411.53"/>
        <n v="15731.75"/>
        <n v="15885.32"/>
        <n v="16016.58"/>
        <n v="16203.33"/>
        <n v="16441.75"/>
        <n v="16647.09"/>
        <n v="17058.12"/>
      </sharedItems>
    </cacheField>
    <cacheField name="Total_Amount" numFmtId="0">
      <sharedItems containsSemiMixedTypes="0" containsString="0" containsNumber="1" minValue="9773.16" maxValue="111825.46" count="103">
        <n v="9773.16"/>
        <n v="9803.99"/>
        <n v="11947.51"/>
        <n v="12208.37"/>
        <n v="13734.15"/>
        <n v="15961.75"/>
        <n v="17529.63"/>
        <n v="18233.18"/>
        <n v="19027.13"/>
        <n v="19123.48"/>
        <n v="20696.57"/>
        <n v="21898.68"/>
        <n v="22350.57"/>
        <n v="23037.99"/>
        <n v="25634.28"/>
        <n v="27771.77"/>
        <n v="29108.639999999999"/>
        <n v="29400.73"/>
        <n v="29860.22"/>
        <n v="31006.46"/>
        <n v="31378.58"/>
        <n v="31885.37"/>
        <n v="31985.69"/>
        <n v="33181.300000000003"/>
        <n v="34572.29"/>
        <n v="35085.129999999997"/>
        <n v="36048.6"/>
        <n v="36413.050000000003"/>
        <n v="36590.080000000002"/>
        <n v="36595.72"/>
        <n v="37334.269999999997"/>
        <n v="37976.769999999997"/>
        <n v="38041.39"/>
        <n v="40335.519999999997"/>
        <n v="41918.53"/>
        <n v="42013.81"/>
        <n v="43046.02"/>
        <n v="43408.28"/>
        <n v="43994.8"/>
        <n v="46565.45"/>
        <n v="47775.34"/>
        <n v="48345.38"/>
        <n v="48984.160000000003"/>
        <n v="50071.38"/>
        <n v="50947.15"/>
        <n v="51158.7"/>
        <n v="51162.46"/>
        <n v="51365.61"/>
        <n v="52571.94"/>
        <n v="52603.02"/>
        <n v="53441.39"/>
        <n v="54798.83"/>
        <n v="55555.8"/>
        <n v="56545.73"/>
        <n v="57761.04"/>
        <n v="58387.11"/>
        <n v="59296"/>
        <n v="59592.68"/>
        <n v="61735.58"/>
        <n v="62223.26"/>
        <n v="62815.02"/>
        <n v="63610.99"/>
        <n v="65450.3"/>
        <n v="68898.649999999994"/>
        <n v="69835.77"/>
        <n v="70473.34"/>
        <n v="70526.3"/>
        <n v="71531.820000000007"/>
        <n v="73208.210000000006"/>
        <n v="73413.13"/>
        <n v="73781.990000000005"/>
        <n v="74229.03"/>
        <n v="76389.2"/>
        <n v="77077.61"/>
        <n v="80031.320000000007"/>
        <n v="80952.08"/>
        <n v="81488.88"/>
        <n v="83699.37"/>
        <n v="84232.44"/>
        <n v="84286.93"/>
        <n v="84374.720000000001"/>
        <n v="84857.53"/>
        <n v="85567.57"/>
        <n v="86525.119999999995"/>
        <n v="88333.11"/>
        <n v="88803.199999999997"/>
        <n v="90106"/>
        <n v="92165.4"/>
        <n v="92673.83"/>
        <n v="93323.91"/>
        <n v="93676.27"/>
        <n v="93806.26"/>
        <n v="94706.23"/>
        <n v="99407.9"/>
        <n v="99649.58"/>
        <n v="101031.15"/>
        <n v="103130.37"/>
        <n v="104137.09"/>
        <n v="104997.56"/>
        <n v="106221.85"/>
        <n v="107784.8"/>
        <n v="109130.91"/>
        <n v="111825.46"/>
      </sharedItems>
    </cacheField>
    <cacheField name="Payment_Status" numFmtId="0">
      <sharedItems count="3">
        <s v="Overdue"/>
        <s v="Paid"/>
        <s v="Pending"/>
      </sharedItems>
    </cacheField>
    <cacheField name="Payment_Date" numFmtId="0">
      <sharedItems containsBlank="1" count="62">
        <s v="2026-01-04"/>
        <s v="2026-01-23"/>
        <s v="2026-01-25"/>
        <s v="2026-01-29"/>
        <s v="2026-01-30"/>
        <s v="2026-01-31"/>
        <s v="2026-02-01"/>
        <s v="2026-02-03"/>
        <s v="2026-02-07"/>
        <s v="2026-02-10"/>
        <s v="2026-02-13"/>
        <s v="2026-02-20"/>
        <s v="2026-02-27"/>
        <s v="2026-03-02"/>
        <s v="2026-03-07"/>
        <s v="2026-03-10"/>
        <s v="2026-03-11"/>
        <s v="2026-03-14"/>
        <s v="2026-03-15"/>
        <s v="2026-03-16"/>
        <s v="2026-03-20"/>
        <s v="2026-03-21"/>
        <s v="2026-03-22"/>
        <s v="2026-03-27"/>
        <s v="2026-03-29"/>
        <s v="2026-03-30"/>
        <s v="2026-03-31"/>
        <s v="2026-04-04"/>
        <s v="2026-04-08"/>
        <s v="2026-04-09"/>
        <s v="2026-04-12"/>
        <s v="2026-04-14"/>
        <s v="2026-04-15"/>
        <s v="2026-04-19"/>
        <s v="2026-04-28"/>
        <s v="2026-05-03"/>
        <s v="2026-05-05"/>
        <s v="2026-05-08"/>
        <s v="2026-05-17"/>
        <s v="2026-05-18"/>
        <s v="2026-05-21"/>
        <s v="2026-05-23"/>
        <s v="2026-05-25"/>
        <s v="2026-05-29"/>
        <s v="2026-05-30"/>
        <s v="2026-06-02"/>
        <s v="2026-06-07"/>
        <s v="2026-06-11"/>
        <s v="2026-06-12"/>
        <s v="2026-06-19"/>
        <s v="2026-06-21"/>
        <s v="2026-06-23"/>
        <s v="2026-06-25"/>
        <s v="2026-06-26"/>
        <s v="2026-06-27"/>
        <s v="2026-07-01"/>
        <s v="2026-07-03"/>
        <s v="2026-07-19"/>
        <s v="2026-07-28"/>
        <s v="2026-07-29"/>
        <s v="2026-08-03"/>
        <m/>
      </sharedItems>
    </cacheField>
    <cacheField name="Terms_VLOOKUP" numFmtId="0">
      <sharedItems containsSemiMixedTypes="0" containsString="0" containsNumber="1" containsInteger="1" minValue="15" maxValue="45" count="3">
        <n v="15"/>
        <n v="30"/>
        <n v="45"/>
      </sharedItems>
    </cacheField>
    <cacheField name="Terms_XLOOKUP " numFmtId="0">
      <sharedItems count="1">
        <e v="#NAME?"/>
      </sharedItems>
    </cacheField>
    <cacheField name="Terms_INDEXMATCH" numFmtId="0">
      <sharedItems containsSemiMixedTypes="0" containsString="0" containsNumber="1" containsInteger="1" minValue="15" maxValue="45" count="3">
        <n v="15"/>
        <n v="30"/>
        <n v="45"/>
      </sharedItems>
    </cacheField>
    <cacheField name="Large_Invoice_Flag" numFmtId="0">
      <sharedItems count="2">
        <s v=""/>
        <s v="Large"/>
      </sharedItems>
    </cacheField>
    <cacheField name="Category_Lookup" numFmtId="0">
      <sharedItems count="10">
        <s v="Housekeeping"/>
        <s v="Insurance"/>
        <s v="Landscaping"/>
        <s v="Maintenance"/>
        <s v="Marketing"/>
        <s v="Office Supplies"/>
        <s v="Professional Fees"/>
        <s v="Repairs"/>
        <s v="Security"/>
        <s v="Utilities"/>
      </sharedItems>
    </cacheField>
    <cacheField name="Month_No" numFmtId="0">
      <sharedItems containsSemiMixedTypes="0" containsString="0" containsNumber="1" containsInteger="1" minValue="1" maxValue="6" count="6">
        <n v="1"/>
        <n v="2"/>
        <n v="3"/>
        <n v="4"/>
        <n v="5"/>
        <n v="6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3">
  <r>
    <x v="0"/>
    <x v="0"/>
    <x v="3"/>
    <x v="0"/>
    <x v="0"/>
    <x v="82"/>
    <x v="82"/>
    <x v="82"/>
    <x v="1"/>
    <x v="0"/>
    <x v="1"/>
    <x v="0"/>
    <x v="1"/>
    <x v="1"/>
    <x v="8"/>
    <x v="0"/>
  </r>
  <r>
    <x v="1"/>
    <x v="9"/>
    <x v="2"/>
    <x v="7"/>
    <x v="8"/>
    <x v="95"/>
    <x v="95"/>
    <x v="95"/>
    <x v="1"/>
    <x v="2"/>
    <x v="1"/>
    <x v="0"/>
    <x v="1"/>
    <x v="1"/>
    <x v="3"/>
    <x v="0"/>
  </r>
  <r>
    <x v="2"/>
    <x v="10"/>
    <x v="2"/>
    <x v="1"/>
    <x v="1"/>
    <x v="21"/>
    <x v="21"/>
    <x v="21"/>
    <x v="1"/>
    <x v="7"/>
    <x v="1"/>
    <x v="0"/>
    <x v="1"/>
    <x v="0"/>
    <x v="3"/>
    <x v="0"/>
  </r>
  <r>
    <x v="3"/>
    <x v="2"/>
    <x v="0"/>
    <x v="2"/>
    <x v="7"/>
    <x v="52"/>
    <x v="52"/>
    <x v="52"/>
    <x v="0"/>
    <x v="61"/>
    <x v="2"/>
    <x v="0"/>
    <x v="2"/>
    <x v="0"/>
    <x v="1"/>
    <x v="0"/>
  </r>
  <r>
    <x v="4"/>
    <x v="10"/>
    <x v="1"/>
    <x v="8"/>
    <x v="9"/>
    <x v="87"/>
    <x v="87"/>
    <x v="87"/>
    <x v="1"/>
    <x v="5"/>
    <x v="1"/>
    <x v="0"/>
    <x v="1"/>
    <x v="1"/>
    <x v="3"/>
    <x v="0"/>
  </r>
  <r>
    <x v="5"/>
    <x v="6"/>
    <x v="2"/>
    <x v="8"/>
    <x v="9"/>
    <x v="38"/>
    <x v="38"/>
    <x v="38"/>
    <x v="1"/>
    <x v="10"/>
    <x v="1"/>
    <x v="0"/>
    <x v="1"/>
    <x v="0"/>
    <x v="2"/>
    <x v="0"/>
  </r>
  <r>
    <x v="6"/>
    <x v="8"/>
    <x v="2"/>
    <x v="4"/>
    <x v="5"/>
    <x v="29"/>
    <x v="29"/>
    <x v="29"/>
    <x v="1"/>
    <x v="11"/>
    <x v="1"/>
    <x v="0"/>
    <x v="1"/>
    <x v="0"/>
    <x v="7"/>
    <x v="0"/>
  </r>
  <r>
    <x v="7"/>
    <x v="0"/>
    <x v="0"/>
    <x v="3"/>
    <x v="3"/>
    <x v="6"/>
    <x v="6"/>
    <x v="6"/>
    <x v="0"/>
    <x v="61"/>
    <x v="1"/>
    <x v="0"/>
    <x v="1"/>
    <x v="0"/>
    <x v="8"/>
    <x v="0"/>
  </r>
  <r>
    <x v="8"/>
    <x v="11"/>
    <x v="3"/>
    <x v="9"/>
    <x v="10"/>
    <x v="39"/>
    <x v="39"/>
    <x v="39"/>
    <x v="1"/>
    <x v="3"/>
    <x v="1"/>
    <x v="0"/>
    <x v="1"/>
    <x v="0"/>
    <x v="4"/>
    <x v="0"/>
  </r>
  <r>
    <x v="9"/>
    <x v="9"/>
    <x v="2"/>
    <x v="2"/>
    <x v="2"/>
    <x v="85"/>
    <x v="85"/>
    <x v="85"/>
    <x v="0"/>
    <x v="61"/>
    <x v="1"/>
    <x v="0"/>
    <x v="1"/>
    <x v="1"/>
    <x v="3"/>
    <x v="0"/>
  </r>
  <r>
    <x v="10"/>
    <x v="0"/>
    <x v="0"/>
    <x v="3"/>
    <x v="3"/>
    <x v="31"/>
    <x v="31"/>
    <x v="31"/>
    <x v="1"/>
    <x v="6"/>
    <x v="1"/>
    <x v="0"/>
    <x v="1"/>
    <x v="0"/>
    <x v="8"/>
    <x v="0"/>
  </r>
  <r>
    <x v="11"/>
    <x v="9"/>
    <x v="2"/>
    <x v="6"/>
    <x v="7"/>
    <x v="76"/>
    <x v="76"/>
    <x v="76"/>
    <x v="1"/>
    <x v="4"/>
    <x v="1"/>
    <x v="0"/>
    <x v="1"/>
    <x v="1"/>
    <x v="3"/>
    <x v="0"/>
  </r>
  <r>
    <x v="12"/>
    <x v="7"/>
    <x v="1"/>
    <x v="15"/>
    <x v="19"/>
    <x v="24"/>
    <x v="24"/>
    <x v="24"/>
    <x v="1"/>
    <x v="19"/>
    <x v="2"/>
    <x v="0"/>
    <x v="2"/>
    <x v="0"/>
    <x v="6"/>
    <x v="1"/>
  </r>
  <r>
    <x v="13"/>
    <x v="4"/>
    <x v="0"/>
    <x v="10"/>
    <x v="4"/>
    <x v="22"/>
    <x v="22"/>
    <x v="22"/>
    <x v="0"/>
    <x v="61"/>
    <x v="0"/>
    <x v="0"/>
    <x v="0"/>
    <x v="0"/>
    <x v="9"/>
    <x v="1"/>
  </r>
  <r>
    <x v="14"/>
    <x v="10"/>
    <x v="0"/>
    <x v="5"/>
    <x v="6"/>
    <x v="91"/>
    <x v="91"/>
    <x v="91"/>
    <x v="1"/>
    <x v="1"/>
    <x v="1"/>
    <x v="0"/>
    <x v="1"/>
    <x v="1"/>
    <x v="3"/>
    <x v="0"/>
  </r>
  <r>
    <x v="15"/>
    <x v="6"/>
    <x v="0"/>
    <x v="11"/>
    <x v="12"/>
    <x v="93"/>
    <x v="93"/>
    <x v="93"/>
    <x v="1"/>
    <x v="13"/>
    <x v="1"/>
    <x v="0"/>
    <x v="1"/>
    <x v="1"/>
    <x v="2"/>
    <x v="1"/>
  </r>
  <r>
    <x v="16"/>
    <x v="2"/>
    <x v="0"/>
    <x v="12"/>
    <x v="17"/>
    <x v="53"/>
    <x v="53"/>
    <x v="53"/>
    <x v="1"/>
    <x v="20"/>
    <x v="2"/>
    <x v="0"/>
    <x v="2"/>
    <x v="0"/>
    <x v="1"/>
    <x v="1"/>
  </r>
  <r>
    <x v="17"/>
    <x v="7"/>
    <x v="1"/>
    <x v="10"/>
    <x v="16"/>
    <x v="27"/>
    <x v="27"/>
    <x v="27"/>
    <x v="0"/>
    <x v="61"/>
    <x v="2"/>
    <x v="0"/>
    <x v="2"/>
    <x v="0"/>
    <x v="6"/>
    <x v="1"/>
  </r>
  <r>
    <x v="18"/>
    <x v="8"/>
    <x v="3"/>
    <x v="13"/>
    <x v="13"/>
    <x v="102"/>
    <x v="102"/>
    <x v="102"/>
    <x v="1"/>
    <x v="8"/>
    <x v="1"/>
    <x v="0"/>
    <x v="1"/>
    <x v="1"/>
    <x v="7"/>
    <x v="1"/>
  </r>
  <r>
    <x v="19"/>
    <x v="10"/>
    <x v="3"/>
    <x v="23"/>
    <x v="21"/>
    <x v="10"/>
    <x v="10"/>
    <x v="10"/>
    <x v="0"/>
    <x v="61"/>
    <x v="1"/>
    <x v="0"/>
    <x v="1"/>
    <x v="0"/>
    <x v="3"/>
    <x v="1"/>
  </r>
  <r>
    <x v="20"/>
    <x v="2"/>
    <x v="1"/>
    <x v="19"/>
    <x v="24"/>
    <x v="5"/>
    <x v="5"/>
    <x v="5"/>
    <x v="1"/>
    <x v="18"/>
    <x v="2"/>
    <x v="0"/>
    <x v="2"/>
    <x v="0"/>
    <x v="1"/>
    <x v="1"/>
  </r>
  <r>
    <x v="21"/>
    <x v="7"/>
    <x v="2"/>
    <x v="14"/>
    <x v="18"/>
    <x v="101"/>
    <x v="101"/>
    <x v="101"/>
    <x v="1"/>
    <x v="9"/>
    <x v="2"/>
    <x v="0"/>
    <x v="2"/>
    <x v="1"/>
    <x v="6"/>
    <x v="1"/>
  </r>
  <r>
    <x v="22"/>
    <x v="9"/>
    <x v="0"/>
    <x v="18"/>
    <x v="15"/>
    <x v="83"/>
    <x v="83"/>
    <x v="83"/>
    <x v="1"/>
    <x v="16"/>
    <x v="1"/>
    <x v="0"/>
    <x v="1"/>
    <x v="1"/>
    <x v="3"/>
    <x v="1"/>
  </r>
  <r>
    <x v="23"/>
    <x v="3"/>
    <x v="0"/>
    <x v="16"/>
    <x v="10"/>
    <x v="0"/>
    <x v="0"/>
    <x v="0"/>
    <x v="0"/>
    <x v="61"/>
    <x v="0"/>
    <x v="0"/>
    <x v="0"/>
    <x v="0"/>
    <x v="0"/>
    <x v="1"/>
  </r>
  <r>
    <x v="24"/>
    <x v="3"/>
    <x v="0"/>
    <x v="17"/>
    <x v="11"/>
    <x v="96"/>
    <x v="96"/>
    <x v="96"/>
    <x v="0"/>
    <x v="61"/>
    <x v="0"/>
    <x v="0"/>
    <x v="0"/>
    <x v="1"/>
    <x v="0"/>
    <x v="1"/>
  </r>
  <r>
    <x v="25"/>
    <x v="7"/>
    <x v="0"/>
    <x v="19"/>
    <x v="24"/>
    <x v="18"/>
    <x v="18"/>
    <x v="18"/>
    <x v="0"/>
    <x v="61"/>
    <x v="2"/>
    <x v="0"/>
    <x v="2"/>
    <x v="0"/>
    <x v="6"/>
    <x v="1"/>
  </r>
  <r>
    <x v="26"/>
    <x v="7"/>
    <x v="2"/>
    <x v="21"/>
    <x v="25"/>
    <x v="97"/>
    <x v="97"/>
    <x v="97"/>
    <x v="1"/>
    <x v="22"/>
    <x v="2"/>
    <x v="0"/>
    <x v="2"/>
    <x v="1"/>
    <x v="6"/>
    <x v="1"/>
  </r>
  <r>
    <x v="27"/>
    <x v="0"/>
    <x v="0"/>
    <x v="22"/>
    <x v="20"/>
    <x v="94"/>
    <x v="94"/>
    <x v="94"/>
    <x v="1"/>
    <x v="14"/>
    <x v="1"/>
    <x v="0"/>
    <x v="1"/>
    <x v="1"/>
    <x v="8"/>
    <x v="1"/>
  </r>
  <r>
    <x v="28"/>
    <x v="11"/>
    <x v="1"/>
    <x v="17"/>
    <x v="14"/>
    <x v="7"/>
    <x v="7"/>
    <x v="7"/>
    <x v="0"/>
    <x v="61"/>
    <x v="1"/>
    <x v="0"/>
    <x v="1"/>
    <x v="0"/>
    <x v="4"/>
    <x v="1"/>
  </r>
  <r>
    <x v="29"/>
    <x v="7"/>
    <x v="1"/>
    <x v="28"/>
    <x v="32"/>
    <x v="12"/>
    <x v="12"/>
    <x v="12"/>
    <x v="0"/>
    <x v="61"/>
    <x v="2"/>
    <x v="0"/>
    <x v="2"/>
    <x v="0"/>
    <x v="6"/>
    <x v="2"/>
  </r>
  <r>
    <x v="30"/>
    <x v="3"/>
    <x v="1"/>
    <x v="20"/>
    <x v="13"/>
    <x v="61"/>
    <x v="61"/>
    <x v="61"/>
    <x v="0"/>
    <x v="61"/>
    <x v="0"/>
    <x v="0"/>
    <x v="0"/>
    <x v="0"/>
    <x v="0"/>
    <x v="1"/>
  </r>
  <r>
    <x v="31"/>
    <x v="7"/>
    <x v="3"/>
    <x v="28"/>
    <x v="32"/>
    <x v="80"/>
    <x v="80"/>
    <x v="80"/>
    <x v="1"/>
    <x v="25"/>
    <x v="2"/>
    <x v="0"/>
    <x v="2"/>
    <x v="1"/>
    <x v="6"/>
    <x v="2"/>
  </r>
  <r>
    <x v="32"/>
    <x v="9"/>
    <x v="1"/>
    <x v="27"/>
    <x v="24"/>
    <x v="40"/>
    <x v="40"/>
    <x v="40"/>
    <x v="1"/>
    <x v="18"/>
    <x v="1"/>
    <x v="0"/>
    <x v="1"/>
    <x v="0"/>
    <x v="3"/>
    <x v="2"/>
  </r>
  <r>
    <x v="33"/>
    <x v="8"/>
    <x v="3"/>
    <x v="24"/>
    <x v="22"/>
    <x v="64"/>
    <x v="64"/>
    <x v="64"/>
    <x v="1"/>
    <x v="12"/>
    <x v="1"/>
    <x v="0"/>
    <x v="1"/>
    <x v="0"/>
    <x v="7"/>
    <x v="1"/>
  </r>
  <r>
    <x v="34"/>
    <x v="0"/>
    <x v="3"/>
    <x v="32"/>
    <x v="31"/>
    <x v="71"/>
    <x v="71"/>
    <x v="71"/>
    <x v="1"/>
    <x v="21"/>
    <x v="1"/>
    <x v="0"/>
    <x v="1"/>
    <x v="1"/>
    <x v="8"/>
    <x v="2"/>
  </r>
  <r>
    <x v="35"/>
    <x v="8"/>
    <x v="0"/>
    <x v="25"/>
    <x v="23"/>
    <x v="59"/>
    <x v="59"/>
    <x v="59"/>
    <x v="1"/>
    <x v="15"/>
    <x v="1"/>
    <x v="0"/>
    <x v="1"/>
    <x v="0"/>
    <x v="7"/>
    <x v="1"/>
  </r>
  <r>
    <x v="36"/>
    <x v="7"/>
    <x v="1"/>
    <x v="26"/>
    <x v="29"/>
    <x v="77"/>
    <x v="77"/>
    <x v="77"/>
    <x v="1"/>
    <x v="24"/>
    <x v="2"/>
    <x v="0"/>
    <x v="2"/>
    <x v="1"/>
    <x v="6"/>
    <x v="2"/>
  </r>
  <r>
    <x v="37"/>
    <x v="2"/>
    <x v="1"/>
    <x v="27"/>
    <x v="30"/>
    <x v="9"/>
    <x v="9"/>
    <x v="9"/>
    <x v="1"/>
    <x v="23"/>
    <x v="2"/>
    <x v="0"/>
    <x v="2"/>
    <x v="0"/>
    <x v="1"/>
    <x v="2"/>
  </r>
  <r>
    <x v="38"/>
    <x v="1"/>
    <x v="2"/>
    <x v="33"/>
    <x v="26"/>
    <x v="79"/>
    <x v="79"/>
    <x v="79"/>
    <x v="1"/>
    <x v="31"/>
    <x v="0"/>
    <x v="0"/>
    <x v="0"/>
    <x v="1"/>
    <x v="5"/>
    <x v="2"/>
  </r>
  <r>
    <x v="39"/>
    <x v="0"/>
    <x v="1"/>
    <x v="31"/>
    <x v="30"/>
    <x v="16"/>
    <x v="16"/>
    <x v="16"/>
    <x v="1"/>
    <x v="23"/>
    <x v="1"/>
    <x v="0"/>
    <x v="1"/>
    <x v="0"/>
    <x v="8"/>
    <x v="2"/>
  </r>
  <r>
    <x v="40"/>
    <x v="5"/>
    <x v="2"/>
    <x v="34"/>
    <x v="27"/>
    <x v="25"/>
    <x v="25"/>
    <x v="25"/>
    <x v="1"/>
    <x v="29"/>
    <x v="0"/>
    <x v="0"/>
    <x v="0"/>
    <x v="0"/>
    <x v="9"/>
    <x v="2"/>
  </r>
  <r>
    <x v="41"/>
    <x v="0"/>
    <x v="2"/>
    <x v="29"/>
    <x v="28"/>
    <x v="72"/>
    <x v="72"/>
    <x v="72"/>
    <x v="0"/>
    <x v="61"/>
    <x v="1"/>
    <x v="0"/>
    <x v="1"/>
    <x v="1"/>
    <x v="8"/>
    <x v="2"/>
  </r>
  <r>
    <x v="42"/>
    <x v="6"/>
    <x v="1"/>
    <x v="30"/>
    <x v="29"/>
    <x v="46"/>
    <x v="46"/>
    <x v="46"/>
    <x v="1"/>
    <x v="28"/>
    <x v="1"/>
    <x v="0"/>
    <x v="1"/>
    <x v="0"/>
    <x v="2"/>
    <x v="2"/>
  </r>
  <r>
    <x v="43"/>
    <x v="10"/>
    <x v="1"/>
    <x v="30"/>
    <x v="29"/>
    <x v="41"/>
    <x v="41"/>
    <x v="41"/>
    <x v="1"/>
    <x v="30"/>
    <x v="1"/>
    <x v="0"/>
    <x v="1"/>
    <x v="0"/>
    <x v="3"/>
    <x v="2"/>
  </r>
  <r>
    <x v="44"/>
    <x v="5"/>
    <x v="1"/>
    <x v="33"/>
    <x v="26"/>
    <x v="75"/>
    <x v="75"/>
    <x v="75"/>
    <x v="1"/>
    <x v="26"/>
    <x v="0"/>
    <x v="0"/>
    <x v="0"/>
    <x v="1"/>
    <x v="9"/>
    <x v="2"/>
  </r>
  <r>
    <x v="45"/>
    <x v="6"/>
    <x v="2"/>
    <x v="29"/>
    <x v="28"/>
    <x v="63"/>
    <x v="63"/>
    <x v="63"/>
    <x v="1"/>
    <x v="17"/>
    <x v="1"/>
    <x v="0"/>
    <x v="1"/>
    <x v="0"/>
    <x v="2"/>
    <x v="2"/>
  </r>
  <r>
    <x v="46"/>
    <x v="10"/>
    <x v="3"/>
    <x v="36"/>
    <x v="34"/>
    <x v="55"/>
    <x v="55"/>
    <x v="55"/>
    <x v="1"/>
    <x v="34"/>
    <x v="1"/>
    <x v="0"/>
    <x v="1"/>
    <x v="0"/>
    <x v="3"/>
    <x v="2"/>
  </r>
  <r>
    <x v="47"/>
    <x v="3"/>
    <x v="3"/>
    <x v="35"/>
    <x v="28"/>
    <x v="66"/>
    <x v="66"/>
    <x v="66"/>
    <x v="1"/>
    <x v="30"/>
    <x v="0"/>
    <x v="0"/>
    <x v="0"/>
    <x v="1"/>
    <x v="0"/>
    <x v="2"/>
  </r>
  <r>
    <x v="48"/>
    <x v="6"/>
    <x v="2"/>
    <x v="41"/>
    <x v="40"/>
    <x v="65"/>
    <x v="65"/>
    <x v="65"/>
    <x v="1"/>
    <x v="38"/>
    <x v="1"/>
    <x v="0"/>
    <x v="1"/>
    <x v="1"/>
    <x v="2"/>
    <x v="3"/>
  </r>
  <r>
    <x v="49"/>
    <x v="11"/>
    <x v="0"/>
    <x v="40"/>
    <x v="38"/>
    <x v="34"/>
    <x v="34"/>
    <x v="34"/>
    <x v="1"/>
    <x v="34"/>
    <x v="1"/>
    <x v="0"/>
    <x v="1"/>
    <x v="0"/>
    <x v="4"/>
    <x v="3"/>
  </r>
  <r>
    <x v="50"/>
    <x v="6"/>
    <x v="0"/>
    <x v="37"/>
    <x v="35"/>
    <x v="43"/>
    <x v="43"/>
    <x v="43"/>
    <x v="1"/>
    <x v="27"/>
    <x v="1"/>
    <x v="0"/>
    <x v="1"/>
    <x v="0"/>
    <x v="2"/>
    <x v="3"/>
  </r>
  <r>
    <x v="51"/>
    <x v="10"/>
    <x v="2"/>
    <x v="38"/>
    <x v="36"/>
    <x v="68"/>
    <x v="68"/>
    <x v="68"/>
    <x v="1"/>
    <x v="33"/>
    <x v="1"/>
    <x v="0"/>
    <x v="1"/>
    <x v="1"/>
    <x v="3"/>
    <x v="3"/>
  </r>
  <r>
    <x v="52"/>
    <x v="7"/>
    <x v="0"/>
    <x v="37"/>
    <x v="42"/>
    <x v="13"/>
    <x v="13"/>
    <x v="13"/>
    <x v="0"/>
    <x v="61"/>
    <x v="2"/>
    <x v="0"/>
    <x v="2"/>
    <x v="0"/>
    <x v="6"/>
    <x v="3"/>
  </r>
  <r>
    <x v="53"/>
    <x v="8"/>
    <x v="0"/>
    <x v="42"/>
    <x v="42"/>
    <x v="14"/>
    <x v="14"/>
    <x v="14"/>
    <x v="1"/>
    <x v="39"/>
    <x v="1"/>
    <x v="0"/>
    <x v="1"/>
    <x v="0"/>
    <x v="7"/>
    <x v="3"/>
  </r>
  <r>
    <x v="54"/>
    <x v="10"/>
    <x v="0"/>
    <x v="45"/>
    <x v="43"/>
    <x v="89"/>
    <x v="89"/>
    <x v="89"/>
    <x v="0"/>
    <x v="61"/>
    <x v="1"/>
    <x v="0"/>
    <x v="1"/>
    <x v="1"/>
    <x v="3"/>
    <x v="3"/>
  </r>
  <r>
    <x v="55"/>
    <x v="0"/>
    <x v="2"/>
    <x v="41"/>
    <x v="40"/>
    <x v="28"/>
    <x v="28"/>
    <x v="28"/>
    <x v="1"/>
    <x v="33"/>
    <x v="1"/>
    <x v="0"/>
    <x v="1"/>
    <x v="0"/>
    <x v="8"/>
    <x v="3"/>
  </r>
  <r>
    <x v="56"/>
    <x v="5"/>
    <x v="0"/>
    <x v="42"/>
    <x v="35"/>
    <x v="67"/>
    <x v="67"/>
    <x v="67"/>
    <x v="1"/>
    <x v="36"/>
    <x v="0"/>
    <x v="0"/>
    <x v="0"/>
    <x v="1"/>
    <x v="9"/>
    <x v="3"/>
  </r>
  <r>
    <x v="57"/>
    <x v="5"/>
    <x v="2"/>
    <x v="43"/>
    <x v="37"/>
    <x v="57"/>
    <x v="57"/>
    <x v="57"/>
    <x v="1"/>
    <x v="36"/>
    <x v="0"/>
    <x v="0"/>
    <x v="0"/>
    <x v="0"/>
    <x v="9"/>
    <x v="3"/>
  </r>
  <r>
    <x v="58"/>
    <x v="5"/>
    <x v="3"/>
    <x v="39"/>
    <x v="33"/>
    <x v="1"/>
    <x v="1"/>
    <x v="1"/>
    <x v="1"/>
    <x v="32"/>
    <x v="0"/>
    <x v="0"/>
    <x v="0"/>
    <x v="0"/>
    <x v="9"/>
    <x v="3"/>
  </r>
  <r>
    <x v="59"/>
    <x v="3"/>
    <x v="1"/>
    <x v="46"/>
    <x v="41"/>
    <x v="51"/>
    <x v="51"/>
    <x v="51"/>
    <x v="1"/>
    <x v="35"/>
    <x v="0"/>
    <x v="0"/>
    <x v="0"/>
    <x v="0"/>
    <x v="0"/>
    <x v="4"/>
  </r>
  <r>
    <x v="60"/>
    <x v="4"/>
    <x v="0"/>
    <x v="44"/>
    <x v="39"/>
    <x v="62"/>
    <x v="62"/>
    <x v="62"/>
    <x v="1"/>
    <x v="34"/>
    <x v="0"/>
    <x v="0"/>
    <x v="0"/>
    <x v="0"/>
    <x v="9"/>
    <x v="3"/>
  </r>
  <r>
    <x v="61"/>
    <x v="2"/>
    <x v="0"/>
    <x v="44"/>
    <x v="47"/>
    <x v="4"/>
    <x v="4"/>
    <x v="4"/>
    <x v="0"/>
    <x v="61"/>
    <x v="2"/>
    <x v="0"/>
    <x v="2"/>
    <x v="0"/>
    <x v="1"/>
    <x v="3"/>
  </r>
  <r>
    <x v="62"/>
    <x v="10"/>
    <x v="3"/>
    <x v="47"/>
    <x v="45"/>
    <x v="19"/>
    <x v="19"/>
    <x v="19"/>
    <x v="1"/>
    <x v="41"/>
    <x v="1"/>
    <x v="0"/>
    <x v="1"/>
    <x v="0"/>
    <x v="3"/>
    <x v="4"/>
  </r>
  <r>
    <x v="63"/>
    <x v="7"/>
    <x v="3"/>
    <x v="54"/>
    <x v="59"/>
    <x v="45"/>
    <x v="45"/>
    <x v="45"/>
    <x v="1"/>
    <x v="44"/>
    <x v="2"/>
    <x v="0"/>
    <x v="2"/>
    <x v="0"/>
    <x v="6"/>
    <x v="4"/>
  </r>
  <r>
    <x v="64"/>
    <x v="3"/>
    <x v="1"/>
    <x v="53"/>
    <x v="44"/>
    <x v="88"/>
    <x v="88"/>
    <x v="88"/>
    <x v="1"/>
    <x v="46"/>
    <x v="0"/>
    <x v="0"/>
    <x v="0"/>
    <x v="1"/>
    <x v="0"/>
    <x v="4"/>
  </r>
  <r>
    <x v="65"/>
    <x v="8"/>
    <x v="3"/>
    <x v="53"/>
    <x v="51"/>
    <x v="98"/>
    <x v="98"/>
    <x v="98"/>
    <x v="1"/>
    <x v="40"/>
    <x v="1"/>
    <x v="0"/>
    <x v="1"/>
    <x v="1"/>
    <x v="7"/>
    <x v="4"/>
  </r>
  <r>
    <x v="66"/>
    <x v="10"/>
    <x v="3"/>
    <x v="59"/>
    <x v="58"/>
    <x v="54"/>
    <x v="54"/>
    <x v="54"/>
    <x v="1"/>
    <x v="54"/>
    <x v="1"/>
    <x v="0"/>
    <x v="1"/>
    <x v="0"/>
    <x v="3"/>
    <x v="5"/>
  </r>
  <r>
    <x v="67"/>
    <x v="8"/>
    <x v="3"/>
    <x v="51"/>
    <x v="49"/>
    <x v="90"/>
    <x v="90"/>
    <x v="90"/>
    <x v="1"/>
    <x v="42"/>
    <x v="1"/>
    <x v="0"/>
    <x v="1"/>
    <x v="1"/>
    <x v="7"/>
    <x v="4"/>
  </r>
  <r>
    <x v="68"/>
    <x v="2"/>
    <x v="2"/>
    <x v="52"/>
    <x v="56"/>
    <x v="32"/>
    <x v="32"/>
    <x v="32"/>
    <x v="1"/>
    <x v="43"/>
    <x v="2"/>
    <x v="0"/>
    <x v="2"/>
    <x v="0"/>
    <x v="1"/>
    <x v="4"/>
  </r>
  <r>
    <x v="69"/>
    <x v="8"/>
    <x v="0"/>
    <x v="57"/>
    <x v="54"/>
    <x v="58"/>
    <x v="58"/>
    <x v="58"/>
    <x v="0"/>
    <x v="61"/>
    <x v="1"/>
    <x v="0"/>
    <x v="1"/>
    <x v="0"/>
    <x v="7"/>
    <x v="4"/>
  </r>
  <r>
    <x v="70"/>
    <x v="0"/>
    <x v="0"/>
    <x v="50"/>
    <x v="48"/>
    <x v="15"/>
    <x v="15"/>
    <x v="15"/>
    <x v="1"/>
    <x v="49"/>
    <x v="1"/>
    <x v="0"/>
    <x v="1"/>
    <x v="0"/>
    <x v="8"/>
    <x v="4"/>
  </r>
  <r>
    <x v="71"/>
    <x v="2"/>
    <x v="0"/>
    <x v="53"/>
    <x v="57"/>
    <x v="78"/>
    <x v="78"/>
    <x v="78"/>
    <x v="2"/>
    <x v="61"/>
    <x v="2"/>
    <x v="0"/>
    <x v="2"/>
    <x v="1"/>
    <x v="1"/>
    <x v="4"/>
  </r>
  <r>
    <x v="72"/>
    <x v="7"/>
    <x v="3"/>
    <x v="49"/>
    <x v="53"/>
    <x v="42"/>
    <x v="42"/>
    <x v="42"/>
    <x v="1"/>
    <x v="50"/>
    <x v="2"/>
    <x v="0"/>
    <x v="2"/>
    <x v="0"/>
    <x v="6"/>
    <x v="4"/>
  </r>
  <r>
    <x v="73"/>
    <x v="2"/>
    <x v="3"/>
    <x v="48"/>
    <x v="52"/>
    <x v="60"/>
    <x v="60"/>
    <x v="60"/>
    <x v="1"/>
    <x v="37"/>
    <x v="2"/>
    <x v="0"/>
    <x v="2"/>
    <x v="0"/>
    <x v="1"/>
    <x v="4"/>
  </r>
  <r>
    <x v="74"/>
    <x v="9"/>
    <x v="2"/>
    <x v="52"/>
    <x v="50"/>
    <x v="69"/>
    <x v="69"/>
    <x v="69"/>
    <x v="1"/>
    <x v="45"/>
    <x v="1"/>
    <x v="0"/>
    <x v="1"/>
    <x v="1"/>
    <x v="3"/>
    <x v="4"/>
  </r>
  <r>
    <x v="75"/>
    <x v="5"/>
    <x v="1"/>
    <x v="61"/>
    <x v="54"/>
    <x v="47"/>
    <x v="47"/>
    <x v="47"/>
    <x v="1"/>
    <x v="52"/>
    <x v="0"/>
    <x v="0"/>
    <x v="0"/>
    <x v="0"/>
    <x v="9"/>
    <x v="5"/>
  </r>
  <r>
    <x v="76"/>
    <x v="3"/>
    <x v="1"/>
    <x v="57"/>
    <x v="47"/>
    <x v="49"/>
    <x v="49"/>
    <x v="49"/>
    <x v="1"/>
    <x v="43"/>
    <x v="0"/>
    <x v="0"/>
    <x v="0"/>
    <x v="0"/>
    <x v="0"/>
    <x v="4"/>
  </r>
  <r>
    <x v="77"/>
    <x v="11"/>
    <x v="2"/>
    <x v="60"/>
    <x v="61"/>
    <x v="33"/>
    <x v="33"/>
    <x v="33"/>
    <x v="2"/>
    <x v="61"/>
    <x v="1"/>
    <x v="0"/>
    <x v="1"/>
    <x v="0"/>
    <x v="4"/>
    <x v="5"/>
  </r>
  <r>
    <x v="78"/>
    <x v="6"/>
    <x v="0"/>
    <x v="59"/>
    <x v="58"/>
    <x v="86"/>
    <x v="86"/>
    <x v="86"/>
    <x v="2"/>
    <x v="61"/>
    <x v="1"/>
    <x v="0"/>
    <x v="1"/>
    <x v="1"/>
    <x v="2"/>
    <x v="5"/>
  </r>
  <r>
    <x v="79"/>
    <x v="1"/>
    <x v="1"/>
    <x v="61"/>
    <x v="54"/>
    <x v="20"/>
    <x v="20"/>
    <x v="20"/>
    <x v="0"/>
    <x v="61"/>
    <x v="0"/>
    <x v="0"/>
    <x v="0"/>
    <x v="0"/>
    <x v="5"/>
    <x v="5"/>
  </r>
  <r>
    <x v="80"/>
    <x v="4"/>
    <x v="0"/>
    <x v="56"/>
    <x v="46"/>
    <x v="73"/>
    <x v="73"/>
    <x v="73"/>
    <x v="1"/>
    <x v="48"/>
    <x v="0"/>
    <x v="0"/>
    <x v="0"/>
    <x v="1"/>
    <x v="9"/>
    <x v="4"/>
  </r>
  <r>
    <x v="81"/>
    <x v="11"/>
    <x v="3"/>
    <x v="58"/>
    <x v="55"/>
    <x v="8"/>
    <x v="8"/>
    <x v="8"/>
    <x v="1"/>
    <x v="47"/>
    <x v="1"/>
    <x v="0"/>
    <x v="1"/>
    <x v="0"/>
    <x v="4"/>
    <x v="4"/>
  </r>
  <r>
    <x v="82"/>
    <x v="6"/>
    <x v="3"/>
    <x v="55"/>
    <x v="53"/>
    <x v="2"/>
    <x v="2"/>
    <x v="2"/>
    <x v="0"/>
    <x v="61"/>
    <x v="1"/>
    <x v="0"/>
    <x v="1"/>
    <x v="0"/>
    <x v="2"/>
    <x v="4"/>
  </r>
  <r>
    <x v="83"/>
    <x v="11"/>
    <x v="1"/>
    <x v="62"/>
    <x v="66"/>
    <x v="84"/>
    <x v="84"/>
    <x v="84"/>
    <x v="2"/>
    <x v="61"/>
    <x v="1"/>
    <x v="0"/>
    <x v="1"/>
    <x v="1"/>
    <x v="4"/>
    <x v="5"/>
  </r>
  <r>
    <x v="84"/>
    <x v="9"/>
    <x v="1"/>
    <x v="60"/>
    <x v="61"/>
    <x v="17"/>
    <x v="17"/>
    <x v="17"/>
    <x v="2"/>
    <x v="61"/>
    <x v="1"/>
    <x v="0"/>
    <x v="1"/>
    <x v="0"/>
    <x v="3"/>
    <x v="5"/>
  </r>
  <r>
    <x v="85"/>
    <x v="3"/>
    <x v="2"/>
    <x v="67"/>
    <x v="62"/>
    <x v="74"/>
    <x v="74"/>
    <x v="74"/>
    <x v="1"/>
    <x v="53"/>
    <x v="0"/>
    <x v="0"/>
    <x v="0"/>
    <x v="1"/>
    <x v="0"/>
    <x v="5"/>
  </r>
  <r>
    <x v="86"/>
    <x v="3"/>
    <x v="1"/>
    <x v="69"/>
    <x v="64"/>
    <x v="100"/>
    <x v="100"/>
    <x v="100"/>
    <x v="2"/>
    <x v="61"/>
    <x v="0"/>
    <x v="0"/>
    <x v="0"/>
    <x v="1"/>
    <x v="0"/>
    <x v="5"/>
  </r>
  <r>
    <x v="87"/>
    <x v="6"/>
    <x v="3"/>
    <x v="70"/>
    <x v="67"/>
    <x v="11"/>
    <x v="11"/>
    <x v="11"/>
    <x v="1"/>
    <x v="58"/>
    <x v="1"/>
    <x v="0"/>
    <x v="1"/>
    <x v="0"/>
    <x v="2"/>
    <x v="5"/>
  </r>
  <r>
    <x v="88"/>
    <x v="7"/>
    <x v="1"/>
    <x v="66"/>
    <x v="70"/>
    <x v="35"/>
    <x v="35"/>
    <x v="35"/>
    <x v="1"/>
    <x v="60"/>
    <x v="2"/>
    <x v="0"/>
    <x v="2"/>
    <x v="0"/>
    <x v="6"/>
    <x v="5"/>
  </r>
  <r>
    <x v="89"/>
    <x v="7"/>
    <x v="1"/>
    <x v="62"/>
    <x v="68"/>
    <x v="92"/>
    <x v="92"/>
    <x v="92"/>
    <x v="1"/>
    <x v="59"/>
    <x v="2"/>
    <x v="0"/>
    <x v="2"/>
    <x v="1"/>
    <x v="6"/>
    <x v="5"/>
  </r>
  <r>
    <x v="90"/>
    <x v="1"/>
    <x v="3"/>
    <x v="63"/>
    <x v="58"/>
    <x v="26"/>
    <x v="26"/>
    <x v="26"/>
    <x v="1"/>
    <x v="50"/>
    <x v="0"/>
    <x v="0"/>
    <x v="0"/>
    <x v="0"/>
    <x v="5"/>
    <x v="5"/>
  </r>
  <r>
    <x v="91"/>
    <x v="7"/>
    <x v="0"/>
    <x v="64"/>
    <x v="69"/>
    <x v="70"/>
    <x v="70"/>
    <x v="70"/>
    <x v="2"/>
    <x v="61"/>
    <x v="2"/>
    <x v="0"/>
    <x v="2"/>
    <x v="1"/>
    <x v="6"/>
    <x v="5"/>
  </r>
  <r>
    <x v="92"/>
    <x v="5"/>
    <x v="0"/>
    <x v="68"/>
    <x v="63"/>
    <x v="30"/>
    <x v="30"/>
    <x v="30"/>
    <x v="1"/>
    <x v="53"/>
    <x v="0"/>
    <x v="0"/>
    <x v="0"/>
    <x v="0"/>
    <x v="9"/>
    <x v="5"/>
  </r>
  <r>
    <x v="93"/>
    <x v="3"/>
    <x v="3"/>
    <x v="65"/>
    <x v="60"/>
    <x v="23"/>
    <x v="23"/>
    <x v="23"/>
    <x v="1"/>
    <x v="51"/>
    <x v="0"/>
    <x v="0"/>
    <x v="0"/>
    <x v="0"/>
    <x v="0"/>
    <x v="5"/>
  </r>
  <r>
    <x v="94"/>
    <x v="2"/>
    <x v="1"/>
    <x v="70"/>
    <x v="71"/>
    <x v="37"/>
    <x v="37"/>
    <x v="37"/>
    <x v="2"/>
    <x v="61"/>
    <x v="2"/>
    <x v="0"/>
    <x v="2"/>
    <x v="0"/>
    <x v="1"/>
    <x v="5"/>
  </r>
  <r>
    <x v="95"/>
    <x v="6"/>
    <x v="2"/>
    <x v="70"/>
    <x v="67"/>
    <x v="48"/>
    <x v="48"/>
    <x v="48"/>
    <x v="1"/>
    <x v="57"/>
    <x v="1"/>
    <x v="0"/>
    <x v="1"/>
    <x v="0"/>
    <x v="2"/>
    <x v="5"/>
  </r>
  <r>
    <x v="96"/>
    <x v="1"/>
    <x v="0"/>
    <x v="63"/>
    <x v="58"/>
    <x v="99"/>
    <x v="99"/>
    <x v="99"/>
    <x v="1"/>
    <x v="53"/>
    <x v="0"/>
    <x v="0"/>
    <x v="0"/>
    <x v="1"/>
    <x v="5"/>
    <x v="5"/>
  </r>
  <r>
    <x v="97"/>
    <x v="7"/>
    <x v="3"/>
    <x v="70"/>
    <x v="71"/>
    <x v="81"/>
    <x v="81"/>
    <x v="81"/>
    <x v="2"/>
    <x v="61"/>
    <x v="2"/>
    <x v="0"/>
    <x v="2"/>
    <x v="1"/>
    <x v="6"/>
    <x v="5"/>
  </r>
  <r>
    <x v="98"/>
    <x v="5"/>
    <x v="1"/>
    <x v="70"/>
    <x v="65"/>
    <x v="56"/>
    <x v="56"/>
    <x v="56"/>
    <x v="2"/>
    <x v="61"/>
    <x v="0"/>
    <x v="0"/>
    <x v="0"/>
    <x v="0"/>
    <x v="9"/>
    <x v="5"/>
  </r>
  <r>
    <x v="99"/>
    <x v="9"/>
    <x v="3"/>
    <x v="70"/>
    <x v="67"/>
    <x v="44"/>
    <x v="44"/>
    <x v="44"/>
    <x v="1"/>
    <x v="56"/>
    <x v="1"/>
    <x v="0"/>
    <x v="1"/>
    <x v="0"/>
    <x v="3"/>
    <x v="5"/>
  </r>
  <r>
    <x v="100"/>
    <x v="11"/>
    <x v="1"/>
    <x v="70"/>
    <x v="67"/>
    <x v="3"/>
    <x v="3"/>
    <x v="3"/>
    <x v="1"/>
    <x v="55"/>
    <x v="1"/>
    <x v="0"/>
    <x v="1"/>
    <x v="0"/>
    <x v="4"/>
    <x v="5"/>
  </r>
  <r>
    <x v="101"/>
    <x v="0"/>
    <x v="1"/>
    <x v="70"/>
    <x v="67"/>
    <x v="50"/>
    <x v="50"/>
    <x v="50"/>
    <x v="2"/>
    <x v="61"/>
    <x v="1"/>
    <x v="0"/>
    <x v="1"/>
    <x v="0"/>
    <x v="8"/>
    <x v="5"/>
  </r>
  <r>
    <x v="102"/>
    <x v="5"/>
    <x v="1"/>
    <x v="70"/>
    <x v="65"/>
    <x v="36"/>
    <x v="36"/>
    <x v="36"/>
    <x v="2"/>
    <x v="61"/>
    <x v="0"/>
    <x v="0"/>
    <x v="0"/>
    <x v="0"/>
    <x v="9"/>
    <x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0000000}" name="PivotTable1" cacheId="0" applyNumberFormats="0" applyBorderFormats="0" applyFontFormats="0" applyPatternFormats="0" applyAlignmentFormats="0" applyWidthHeightFormats="0" dataCaption="Values" itemPrintTitles="1" indent="0" outline="1" outlineData="1">
  <location ref="A3:E15" firstHeaderRow="1" firstDataRow="2" firstDataCol="1"/>
  <pivotFields count="16"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Col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axis="axisRow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/>
  </pivotFields>
  <rowFields count="1">
    <field x="14"/>
  </rowFields>
  <colFields count="1">
    <field x="8"/>
  </colFields>
  <dataFields count="1">
    <dataField name="Sum of Total_Amount" fld="7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8"/>
  <sheetViews>
    <sheetView tabSelected="1" zoomScaleNormal="100" workbookViewId="0">
      <selection activeCell="M8" sqref="M8"/>
    </sheetView>
  </sheetViews>
  <sheetFormatPr defaultColWidth="8.7109375" defaultRowHeight="15" x14ac:dyDescent="0.25"/>
  <cols>
    <col min="1" max="8" width="16" customWidth="1"/>
  </cols>
  <sheetData>
    <row r="1" spans="1:8" ht="20.25" customHeight="1" x14ac:dyDescent="0.3">
      <c r="A1" s="4" t="s">
        <v>0</v>
      </c>
    </row>
    <row r="2" spans="1:8" x14ac:dyDescent="0.25">
      <c r="A2" s="5"/>
    </row>
    <row r="4" spans="1:8" x14ac:dyDescent="0.25">
      <c r="A4" s="6" t="s">
        <v>1</v>
      </c>
      <c r="B4" s="7" t="s">
        <v>2</v>
      </c>
    </row>
    <row r="6" spans="1:8" ht="26.25" customHeight="1" x14ac:dyDescent="0.25">
      <c r="A6" s="3" t="s">
        <v>3</v>
      </c>
      <c r="B6" s="3"/>
      <c r="C6" s="3" t="s">
        <v>4</v>
      </c>
      <c r="D6" s="3"/>
      <c r="E6" s="3" t="s">
        <v>5</v>
      </c>
      <c r="F6" s="3"/>
      <c r="G6" s="3" t="s">
        <v>6</v>
      </c>
      <c r="H6" s="3"/>
    </row>
    <row r="7" spans="1:8" ht="18" customHeight="1" x14ac:dyDescent="0.25">
      <c r="A7" s="2" cm="1">
        <f t="array" ref="A7">SUMPRODUCT((IF($B$4="All",1,Raw_Data!$P$2:$P$104=MATCH($B$4,{"Jan","Feb","Mar","Apr","May","Jun"},0)))*Raw_Data!$H$2:$H$104)</f>
        <v>5952969.6699999999</v>
      </c>
      <c r="B7" s="2"/>
      <c r="C7" s="2" cm="1">
        <f t="array" ref="C7">SUMPRODUCT((IF($B$4="All",1,Raw_Data!$P$2:$P$104=MATCH($B$4,{"Jan","Feb","Mar","Apr","May","Jun"},0)))*((Raw_Data!$I$2:$I$104="Pending")+(Raw_Data!$I$2:$I$104="Overdue"))*Raw_Data!$H$2:$H$104)</f>
        <v>1607513.16</v>
      </c>
      <c r="D7" s="2"/>
      <c r="E7" s="2" cm="1">
        <f t="array" ref="E7">SUMPRODUCT((IF($B$4="All",1,Raw_Data!$P$2:$P$104=MATCH($B$4,{"Jan","Feb","Mar","Apr","May","Jun"},0)))*(Raw_Data!$I$2:$I$104="Overdue"))</f>
        <v>19</v>
      </c>
      <c r="F7" s="2"/>
      <c r="G7" s="1" cm="1">
        <f t="array" ref="G7">SUMPRODUCT((IF($B$4="All",1,Raw_Data!$P$2:$P$104=MATCH($B$4,{"Jan","Feb","Mar","Apr","May","Jun"},0)))*(Raw_Data!$I$2:$I$104="Paid"))/SUMPRODUCT((IF($B$4="All",1,Raw_Data!$P$2:$P$104=MATCH($B$4,{"Jan","Feb","Mar","Apr","May","Jun"},0)))*(ROW(Raw_Data!$H$2:$H$104)&gt;0))</f>
        <v>0.69902912621359226</v>
      </c>
      <c r="H7" s="1"/>
    </row>
    <row r="9" spans="1:8" x14ac:dyDescent="0.25">
      <c r="A9" s="8" t="s">
        <v>7</v>
      </c>
    </row>
    <row r="10" spans="1:8" x14ac:dyDescent="0.25">
      <c r="A10" s="9" t="s">
        <v>8</v>
      </c>
      <c r="B10" s="9" t="s">
        <v>9</v>
      </c>
      <c r="C10" s="9" t="s">
        <v>10</v>
      </c>
      <c r="D10" s="9" t="s">
        <v>11</v>
      </c>
      <c r="E10" s="9" t="s">
        <v>12</v>
      </c>
    </row>
    <row r="11" spans="1:8" x14ac:dyDescent="0.25">
      <c r="A11" s="10" t="str">
        <f>Summary!A62</f>
        <v>Housekeeping</v>
      </c>
      <c r="B11" s="11">
        <f>Summary!B62</f>
        <v>383814.60000000003</v>
      </c>
      <c r="C11" s="11">
        <f>Summary!C62</f>
        <v>107784.8</v>
      </c>
      <c r="D11" s="11">
        <f>Summary!D62</f>
        <v>176514.52</v>
      </c>
      <c r="E11" s="11">
        <f>Summary!E62</f>
        <v>668113.92000000004</v>
      </c>
    </row>
    <row r="12" spans="1:8" x14ac:dyDescent="0.25">
      <c r="A12" s="10" t="str">
        <f>Summary!A63</f>
        <v>Insurance</v>
      </c>
      <c r="B12" s="11">
        <f>Summary!B63</f>
        <v>192487.37</v>
      </c>
      <c r="C12" s="11">
        <f>Summary!C63</f>
        <v>127640.72</v>
      </c>
      <c r="D12" s="11">
        <f>Summary!D63</f>
        <v>69289.95</v>
      </c>
      <c r="E12" s="11">
        <f>Summary!E63</f>
        <v>389418.04</v>
      </c>
    </row>
    <row r="13" spans="1:8" x14ac:dyDescent="0.25">
      <c r="A13" s="10" t="str">
        <f>Summary!A64</f>
        <v>Landscaping</v>
      </c>
      <c r="B13" s="11">
        <f>Summary!B64</f>
        <v>458479.15</v>
      </c>
      <c r="C13" s="11">
        <f>Summary!C64</f>
        <v>90106</v>
      </c>
      <c r="D13" s="11">
        <f>Summary!D64</f>
        <v>11947.51</v>
      </c>
      <c r="E13" s="11">
        <f>Summary!E64</f>
        <v>560532.66</v>
      </c>
    </row>
    <row r="14" spans="1:8" x14ac:dyDescent="0.25">
      <c r="A14" s="10" t="str">
        <f>Summary!A65</f>
        <v>Maintenance</v>
      </c>
      <c r="B14" s="11">
        <f>Summary!B65</f>
        <v>927746</v>
      </c>
      <c r="C14" s="11">
        <f>Summary!C65</f>
        <v>29400.73</v>
      </c>
      <c r="D14" s="11">
        <f>Summary!D65</f>
        <v>202823.67999999999</v>
      </c>
      <c r="E14" s="11">
        <f>Summary!E65</f>
        <v>1159970.4099999999</v>
      </c>
    </row>
    <row r="15" spans="1:8" x14ac:dyDescent="0.25">
      <c r="A15" s="10" t="str">
        <f>Summary!A66</f>
        <v>Marketing</v>
      </c>
      <c r="B15" s="11">
        <f>Summary!B66</f>
        <v>119719.48</v>
      </c>
      <c r="C15" s="11">
        <f>Summary!C66</f>
        <v>128668.63</v>
      </c>
      <c r="D15" s="11">
        <f>Summary!D66</f>
        <v>18233.18</v>
      </c>
      <c r="E15" s="11">
        <f>Summary!E66</f>
        <v>266621.28999999998</v>
      </c>
    </row>
    <row r="16" spans="1:8" x14ac:dyDescent="0.25">
      <c r="A16" s="10" t="str">
        <f>Summary!A67</f>
        <v>Office Supplies</v>
      </c>
      <c r="B16" s="11">
        <f>Summary!B67</f>
        <v>226557.38</v>
      </c>
      <c r="C16" s="11">
        <f>Summary!C67</f>
        <v>0</v>
      </c>
      <c r="D16" s="11">
        <f>Summary!D67</f>
        <v>31378.58</v>
      </c>
      <c r="E16" s="11">
        <f>Summary!E67</f>
        <v>257935.96000000002</v>
      </c>
    </row>
    <row r="17" spans="1:5" x14ac:dyDescent="0.25">
      <c r="A17" s="10" t="str">
        <f>Summary!A68</f>
        <v>Professional Fees</v>
      </c>
      <c r="B17" s="11">
        <f>Summary!B68</f>
        <v>652777.28</v>
      </c>
      <c r="C17" s="11">
        <f>Summary!C68</f>
        <v>158639.52000000002</v>
      </c>
      <c r="D17" s="11">
        <f>Summary!D68</f>
        <v>111661.83</v>
      </c>
      <c r="E17" s="11">
        <f>Summary!E68</f>
        <v>923078.63</v>
      </c>
    </row>
    <row r="18" spans="1:5" x14ac:dyDescent="0.25">
      <c r="A18" s="10" t="str">
        <f>Summary!A69</f>
        <v>Repairs</v>
      </c>
      <c r="B18" s="11">
        <f>Summary!B69</f>
        <v>504788.32</v>
      </c>
      <c r="C18" s="11">
        <f>Summary!C69</f>
        <v>0</v>
      </c>
      <c r="D18" s="11">
        <f>Summary!D69</f>
        <v>61735.58</v>
      </c>
      <c r="E18" s="11">
        <f>Summary!E69</f>
        <v>566523.9</v>
      </c>
    </row>
    <row r="19" spans="1:5" x14ac:dyDescent="0.25">
      <c r="A19" s="10" t="str">
        <f>Summary!A70</f>
        <v>Security</v>
      </c>
      <c r="B19" s="11">
        <f>Summary!B70</f>
        <v>390893.44</v>
      </c>
      <c r="C19" s="11">
        <f>Summary!C70</f>
        <v>53441.39</v>
      </c>
      <c r="D19" s="11">
        <f>Summary!D70</f>
        <v>93918.83</v>
      </c>
      <c r="E19" s="11">
        <f>Summary!E70</f>
        <v>538253.66</v>
      </c>
    </row>
    <row r="20" spans="1:5" x14ac:dyDescent="0.25">
      <c r="A20" s="10" t="str">
        <f>Summary!A71</f>
        <v>Utilities</v>
      </c>
      <c r="B20" s="11">
        <f>Summary!B71</f>
        <v>488193.49</v>
      </c>
      <c r="C20" s="11">
        <f>Summary!C71</f>
        <v>102342.01999999999</v>
      </c>
      <c r="D20" s="11">
        <f>Summary!D71</f>
        <v>31985.69</v>
      </c>
      <c r="E20" s="11">
        <f>Summary!E71</f>
        <v>622521.19999999995</v>
      </c>
    </row>
    <row r="21" spans="1:5" x14ac:dyDescent="0.25">
      <c r="A21" s="12" t="str">
        <f>Summary!A72</f>
        <v>Grand Total</v>
      </c>
      <c r="B21" s="13">
        <f>Summary!B72</f>
        <v>4345456.51</v>
      </c>
      <c r="C21" s="13">
        <f>Summary!C72</f>
        <v>798023.81</v>
      </c>
      <c r="D21" s="13">
        <f>Summary!D72</f>
        <v>809489.34999999986</v>
      </c>
      <c r="E21" s="13">
        <f>Summary!E72</f>
        <v>5952969.6700000009</v>
      </c>
    </row>
    <row r="23" spans="1:5" x14ac:dyDescent="0.25">
      <c r="A23" s="14" t="s">
        <v>13</v>
      </c>
    </row>
    <row r="28" spans="1:5" x14ac:dyDescent="0.25">
      <c r="A28" s="15" t="s">
        <v>14</v>
      </c>
    </row>
  </sheetData>
  <mergeCells count="8">
    <mergeCell ref="A6:B6"/>
    <mergeCell ref="C6:D6"/>
    <mergeCell ref="E6:F6"/>
    <mergeCell ref="G6:H6"/>
    <mergeCell ref="A7:B7"/>
    <mergeCell ref="C7:D7"/>
    <mergeCell ref="E7:F7"/>
    <mergeCell ref="G7:H7"/>
  </mergeCells>
  <dataValidations count="1">
    <dataValidation type="list" sqref="B4" xr:uid="{00000000-0002-0000-0000-000000000000}">
      <formula1>"All,Jan,Feb,Mar,Apr,May,Jun"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zoomScaleNormal="100" workbookViewId="0">
      <selection activeCell="B8" sqref="B8"/>
    </sheetView>
  </sheetViews>
  <sheetFormatPr defaultColWidth="8.7109375" defaultRowHeight="15" x14ac:dyDescent="0.25"/>
  <cols>
    <col min="1" max="1" width="38" customWidth="1"/>
    <col min="2" max="2" width="18" customWidth="1"/>
  </cols>
  <sheetData>
    <row r="1" spans="1:2" ht="16.5" customHeight="1" x14ac:dyDescent="0.25">
      <c r="A1" s="16" t="s">
        <v>15</v>
      </c>
    </row>
    <row r="3" spans="1:2" x14ac:dyDescent="0.25">
      <c r="A3" t="s">
        <v>16</v>
      </c>
      <c r="B3" s="17">
        <v>0.18</v>
      </c>
    </row>
    <row r="4" spans="1:2" x14ac:dyDescent="0.25">
      <c r="A4" t="s">
        <v>17</v>
      </c>
      <c r="B4" s="18">
        <v>70000</v>
      </c>
    </row>
    <row r="5" spans="1:2" x14ac:dyDescent="0.25">
      <c r="A5" t="s">
        <v>18</v>
      </c>
      <c r="B5" s="18" t="s">
        <v>19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3"/>
  <sheetViews>
    <sheetView zoomScaleNormal="100" workbookViewId="0">
      <pane ySplit="1" topLeftCell="A2" activePane="bottomLeft" state="frozen"/>
      <selection pane="bottomLeft" activeCell="C17" sqref="C17"/>
    </sheetView>
  </sheetViews>
  <sheetFormatPr defaultColWidth="8.7109375" defaultRowHeight="15" x14ac:dyDescent="0.25"/>
  <cols>
    <col min="1" max="1" width="31.42578125" bestFit="1" customWidth="1"/>
    <col min="2" max="5" width="26" customWidth="1"/>
  </cols>
  <sheetData>
    <row r="1" spans="1:5" x14ac:dyDescent="0.25">
      <c r="A1" s="19" t="s">
        <v>20</v>
      </c>
      <c r="B1" s="19" t="s">
        <v>8</v>
      </c>
      <c r="C1" s="19" t="s">
        <v>21</v>
      </c>
      <c r="D1" s="19" t="s">
        <v>22</v>
      </c>
      <c r="E1" s="19" t="s">
        <v>23</v>
      </c>
    </row>
    <row r="2" spans="1:5" x14ac:dyDescent="0.25">
      <c r="A2" s="47" t="s">
        <v>24</v>
      </c>
      <c r="B2" s="47" t="s">
        <v>25</v>
      </c>
      <c r="C2" s="47">
        <v>30</v>
      </c>
      <c r="D2" s="47" t="s">
        <v>26</v>
      </c>
      <c r="E2" s="47" t="s">
        <v>27</v>
      </c>
    </row>
    <row r="3" spans="1:5" x14ac:dyDescent="0.25">
      <c r="A3" s="47" t="s">
        <v>28</v>
      </c>
      <c r="B3" s="47" t="s">
        <v>29</v>
      </c>
      <c r="C3" s="47">
        <v>30</v>
      </c>
      <c r="D3" s="47" t="s">
        <v>30</v>
      </c>
      <c r="E3" s="47" t="s">
        <v>31</v>
      </c>
    </row>
    <row r="4" spans="1:5" x14ac:dyDescent="0.25">
      <c r="A4" s="47" t="s">
        <v>32</v>
      </c>
      <c r="B4" s="47" t="s">
        <v>33</v>
      </c>
      <c r="C4" s="47">
        <v>15</v>
      </c>
      <c r="D4" s="47" t="s">
        <v>34</v>
      </c>
      <c r="E4" s="47" t="s">
        <v>35</v>
      </c>
    </row>
    <row r="5" spans="1:5" x14ac:dyDescent="0.25">
      <c r="A5" s="47" t="s">
        <v>36</v>
      </c>
      <c r="B5" s="47" t="s">
        <v>37</v>
      </c>
      <c r="C5" s="47">
        <v>30</v>
      </c>
      <c r="D5" s="47" t="s">
        <v>38</v>
      </c>
      <c r="E5" s="47" t="s">
        <v>39</v>
      </c>
    </row>
    <row r="6" spans="1:5" x14ac:dyDescent="0.25">
      <c r="A6" s="47" t="s">
        <v>40</v>
      </c>
      <c r="B6" s="47" t="s">
        <v>41</v>
      </c>
      <c r="C6" s="47">
        <v>15</v>
      </c>
      <c r="D6" s="47" t="s">
        <v>42</v>
      </c>
      <c r="E6" s="47" t="s">
        <v>43</v>
      </c>
    </row>
    <row r="7" spans="1:5" x14ac:dyDescent="0.25">
      <c r="A7" s="47" t="s">
        <v>44</v>
      </c>
      <c r="B7" s="47" t="s">
        <v>45</v>
      </c>
      <c r="C7" s="47">
        <v>30</v>
      </c>
      <c r="D7" s="47" t="s">
        <v>46</v>
      </c>
      <c r="E7" s="47" t="s">
        <v>47</v>
      </c>
    </row>
    <row r="8" spans="1:5" x14ac:dyDescent="0.25">
      <c r="A8" s="47" t="s">
        <v>48</v>
      </c>
      <c r="B8" s="47" t="s">
        <v>49</v>
      </c>
      <c r="C8" s="47">
        <v>45</v>
      </c>
      <c r="D8" s="47" t="s">
        <v>50</v>
      </c>
      <c r="E8" s="47" t="s">
        <v>51</v>
      </c>
    </row>
    <row r="9" spans="1:5" x14ac:dyDescent="0.25">
      <c r="A9" s="47" t="s">
        <v>52</v>
      </c>
      <c r="B9" s="47" t="s">
        <v>53</v>
      </c>
      <c r="C9" s="47">
        <v>15</v>
      </c>
      <c r="D9" s="47" t="s">
        <v>54</v>
      </c>
      <c r="E9" s="47" t="s">
        <v>55</v>
      </c>
    </row>
    <row r="10" spans="1:5" x14ac:dyDescent="0.25">
      <c r="A10" s="47" t="s">
        <v>56</v>
      </c>
      <c r="B10" s="47" t="s">
        <v>57</v>
      </c>
      <c r="C10" s="47">
        <v>45</v>
      </c>
      <c r="D10" s="47" t="s">
        <v>58</v>
      </c>
      <c r="E10" s="47" t="s">
        <v>27</v>
      </c>
    </row>
    <row r="11" spans="1:5" x14ac:dyDescent="0.25">
      <c r="A11" s="47" t="s">
        <v>59</v>
      </c>
      <c r="B11" s="47" t="s">
        <v>60</v>
      </c>
      <c r="C11" s="47">
        <v>30</v>
      </c>
      <c r="D11" s="47" t="s">
        <v>61</v>
      </c>
      <c r="E11" s="47" t="s">
        <v>62</v>
      </c>
    </row>
    <row r="12" spans="1:5" x14ac:dyDescent="0.25">
      <c r="A12" s="47" t="s">
        <v>63</v>
      </c>
      <c r="B12" s="47" t="s">
        <v>25</v>
      </c>
      <c r="C12" s="47">
        <v>30</v>
      </c>
      <c r="D12" s="47" t="s">
        <v>64</v>
      </c>
      <c r="E12" s="47" t="s">
        <v>65</v>
      </c>
    </row>
    <row r="13" spans="1:5" x14ac:dyDescent="0.25">
      <c r="A13" s="47" t="s">
        <v>66</v>
      </c>
      <c r="B13" s="47" t="s">
        <v>41</v>
      </c>
      <c r="C13" s="47">
        <v>15</v>
      </c>
      <c r="D13" s="47" t="s">
        <v>67</v>
      </c>
      <c r="E13" s="47" t="s">
        <v>68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104"/>
  <sheetViews>
    <sheetView zoomScaleNormal="100" workbookViewId="0">
      <pane ySplit="1" topLeftCell="A2" activePane="bottomLeft" state="frozen"/>
      <selection pane="bottomLeft" activeCell="J8" sqref="J8"/>
    </sheetView>
  </sheetViews>
  <sheetFormatPr defaultColWidth="8.7109375" defaultRowHeight="15" x14ac:dyDescent="0.25"/>
  <cols>
    <col min="1" max="1" width="12.42578125" customWidth="1"/>
    <col min="2" max="2" width="31.42578125" customWidth="1"/>
    <col min="3" max="3" width="18.42578125" customWidth="1"/>
    <col min="4" max="4" width="14.42578125" customWidth="1"/>
    <col min="5" max="5" width="11.5703125" customWidth="1"/>
    <col min="6" max="6" width="10.140625" customWidth="1"/>
    <col min="7" max="7" width="14.42578125" customWidth="1"/>
    <col min="8" max="8" width="15" customWidth="1"/>
    <col min="9" max="9" width="17.42578125" customWidth="1"/>
    <col min="10" max="10" width="15.5703125" customWidth="1"/>
    <col min="11" max="11" width="19.42578125" customWidth="1"/>
    <col min="12" max="12" width="20.140625" customWidth="1"/>
    <col min="13" max="13" width="23.28515625" customWidth="1"/>
    <col min="14" max="14" width="21.140625" customWidth="1"/>
    <col min="15" max="15" width="19.140625" customWidth="1"/>
    <col min="16" max="16" width="11.42578125" customWidth="1"/>
  </cols>
  <sheetData>
    <row r="1" spans="1:16" x14ac:dyDescent="0.25">
      <c r="A1" s="48" t="s">
        <v>69</v>
      </c>
      <c r="B1" s="48" t="s">
        <v>20</v>
      </c>
      <c r="C1" s="48" t="s">
        <v>70</v>
      </c>
      <c r="D1" s="48" t="s">
        <v>71</v>
      </c>
      <c r="E1" s="48" t="s">
        <v>72</v>
      </c>
      <c r="F1" s="48" t="s">
        <v>73</v>
      </c>
      <c r="G1" s="48" t="s">
        <v>74</v>
      </c>
      <c r="H1" s="48" t="s">
        <v>75</v>
      </c>
      <c r="I1" s="48" t="s">
        <v>76</v>
      </c>
      <c r="J1" s="48" t="s">
        <v>77</v>
      </c>
      <c r="K1" s="48" t="s">
        <v>78</v>
      </c>
      <c r="L1" s="48" t="s">
        <v>79</v>
      </c>
      <c r="M1" s="48" t="s">
        <v>80</v>
      </c>
      <c r="N1" s="48" t="s">
        <v>81</v>
      </c>
      <c r="O1" s="49" t="s">
        <v>82</v>
      </c>
      <c r="P1" s="49" t="s">
        <v>83</v>
      </c>
    </row>
    <row r="2" spans="1:16" x14ac:dyDescent="0.25">
      <c r="A2" s="50" t="s">
        <v>84</v>
      </c>
      <c r="B2" s="50" t="s">
        <v>28</v>
      </c>
      <c r="C2" s="50" t="s">
        <v>85</v>
      </c>
      <c r="D2" s="50" t="s">
        <v>86</v>
      </c>
      <c r="E2" s="50" t="s">
        <v>87</v>
      </c>
      <c r="F2" s="50">
        <v>72514.89</v>
      </c>
      <c r="G2" s="50">
        <v>13052.68</v>
      </c>
      <c r="H2" s="50">
        <v>85567.57</v>
      </c>
      <c r="I2" s="50" t="s">
        <v>9</v>
      </c>
      <c r="J2" s="50" t="s">
        <v>88</v>
      </c>
      <c r="K2" s="50">
        <f>VLOOKUP(B2,Vendor_Master!$A:$C,3,FALSE())</f>
        <v>30</v>
      </c>
      <c r="L2" s="50">
        <f>_xlfn.XLOOKUP(B2,Vendor_Master!A:A,Vendor_Master!C:C)</f>
        <v>30</v>
      </c>
      <c r="M2" s="50">
        <f>INDEX(Vendor_Master!$C:$C,MATCH(B2,Vendor_Master!$A:$A,0))</f>
        <v>30</v>
      </c>
      <c r="N2" s="50" t="str">
        <f>IF(H2&gt;Assumptions!$B$4,"Large","")</f>
        <v>Large</v>
      </c>
      <c r="O2" s="50" t="str">
        <f>INDEX(Vendor_Master!$B:$B,MATCH(B2,Vendor_Master!$A:$A,0))</f>
        <v>Security</v>
      </c>
      <c r="P2" s="50">
        <f t="shared" ref="P2:P33" si="0">MONTH(D2)</f>
        <v>1</v>
      </c>
    </row>
    <row r="3" spans="1:16" x14ac:dyDescent="0.25">
      <c r="A3" s="50" t="s">
        <v>89</v>
      </c>
      <c r="B3" s="50" t="s">
        <v>63</v>
      </c>
      <c r="C3" s="50" t="s">
        <v>90</v>
      </c>
      <c r="D3" s="50" t="s">
        <v>91</v>
      </c>
      <c r="E3" s="50" t="s">
        <v>92</v>
      </c>
      <c r="F3" s="50">
        <v>85619.62</v>
      </c>
      <c r="G3" s="50">
        <v>15411.53</v>
      </c>
      <c r="H3" s="50">
        <v>101031.15</v>
      </c>
      <c r="I3" s="50" t="s">
        <v>9</v>
      </c>
      <c r="J3" s="50" t="s">
        <v>93</v>
      </c>
      <c r="K3" s="50">
        <f>VLOOKUP(B3,Vendor_Master!$A:$C,3,FALSE())</f>
        <v>30</v>
      </c>
      <c r="L3" s="50">
        <f>_xlfn.XLOOKUP(B3,Vendor_Master!A:A,Vendor_Master!C:C)</f>
        <v>30</v>
      </c>
      <c r="M3" s="50">
        <f>INDEX(Vendor_Master!$C:$C,MATCH(B3,Vendor_Master!$A:$A,0))</f>
        <v>30</v>
      </c>
      <c r="N3" s="50" t="str">
        <f>IF(H3&gt;Assumptions!$B$4,"Large","")</f>
        <v>Large</v>
      </c>
      <c r="O3" s="50" t="str">
        <f>INDEX(Vendor_Master!$B:$B,MATCH(B3,Vendor_Master!$A:$A,0))</f>
        <v>Maintenance</v>
      </c>
      <c r="P3" s="50">
        <f t="shared" si="0"/>
        <v>1</v>
      </c>
    </row>
    <row r="4" spans="1:16" x14ac:dyDescent="0.25">
      <c r="A4" s="50" t="s">
        <v>94</v>
      </c>
      <c r="B4" s="50" t="s">
        <v>24</v>
      </c>
      <c r="C4" s="50" t="s">
        <v>90</v>
      </c>
      <c r="D4" s="50" t="s">
        <v>95</v>
      </c>
      <c r="E4" s="50" t="s">
        <v>96</v>
      </c>
      <c r="F4" s="50">
        <v>27021.5</v>
      </c>
      <c r="G4" s="50">
        <v>4863.87</v>
      </c>
      <c r="H4" s="50">
        <v>31885.37</v>
      </c>
      <c r="I4" s="50" t="s">
        <v>9</v>
      </c>
      <c r="J4" s="50" t="s">
        <v>97</v>
      </c>
      <c r="K4" s="50">
        <f>VLOOKUP(B4,Vendor_Master!$A:$C,3,FALSE())</f>
        <v>30</v>
      </c>
      <c r="L4" s="50">
        <f>_xlfn.XLOOKUP(B4,Vendor_Master!A:A,Vendor_Master!C:C)</f>
        <v>30</v>
      </c>
      <c r="M4" s="50">
        <f>INDEX(Vendor_Master!$C:$C,MATCH(B4,Vendor_Master!$A:$A,0))</f>
        <v>30</v>
      </c>
      <c r="N4" s="50" t="str">
        <f>IF(H4&gt;Assumptions!$B$4,"Large","")</f>
        <v/>
      </c>
      <c r="O4" s="50" t="str">
        <f>INDEX(Vendor_Master!$B:$B,MATCH(B4,Vendor_Master!$A:$A,0))</f>
        <v>Maintenance</v>
      </c>
      <c r="P4" s="50">
        <f t="shared" si="0"/>
        <v>1</v>
      </c>
    </row>
    <row r="5" spans="1:16" x14ac:dyDescent="0.25">
      <c r="A5" s="50" t="s">
        <v>98</v>
      </c>
      <c r="B5" s="50" t="s">
        <v>48</v>
      </c>
      <c r="C5" s="50" t="s">
        <v>99</v>
      </c>
      <c r="D5" s="50" t="s">
        <v>100</v>
      </c>
      <c r="E5" s="50" t="s">
        <v>101</v>
      </c>
      <c r="F5" s="50">
        <v>47081.19</v>
      </c>
      <c r="G5" s="50">
        <v>8474.61</v>
      </c>
      <c r="H5" s="50">
        <v>55555.8</v>
      </c>
      <c r="I5" s="50" t="s">
        <v>11</v>
      </c>
      <c r="J5" s="50"/>
      <c r="K5" s="50">
        <f>VLOOKUP(B5,Vendor_Master!$A:$C,3,FALSE())</f>
        <v>45</v>
      </c>
      <c r="L5" s="50">
        <f>_xlfn.XLOOKUP(B5,Vendor_Master!A:A,Vendor_Master!C:C)</f>
        <v>45</v>
      </c>
      <c r="M5" s="50">
        <f>INDEX(Vendor_Master!$C:$C,MATCH(B5,Vendor_Master!$A:$A,0))</f>
        <v>45</v>
      </c>
      <c r="N5" s="50" t="str">
        <f>IF(H5&gt;Assumptions!$B$4,"Large","")</f>
        <v/>
      </c>
      <c r="O5" s="50" t="str">
        <f>INDEX(Vendor_Master!$B:$B,MATCH(B5,Vendor_Master!$A:$A,0))</f>
        <v>Insurance</v>
      </c>
      <c r="P5" s="50">
        <f t="shared" si="0"/>
        <v>1</v>
      </c>
    </row>
    <row r="6" spans="1:16" x14ac:dyDescent="0.25">
      <c r="A6" s="50" t="s">
        <v>102</v>
      </c>
      <c r="B6" s="50" t="s">
        <v>24</v>
      </c>
      <c r="C6" s="50" t="s">
        <v>103</v>
      </c>
      <c r="D6" s="50" t="s">
        <v>93</v>
      </c>
      <c r="E6" s="50" t="s">
        <v>104</v>
      </c>
      <c r="F6" s="50">
        <v>78106.27</v>
      </c>
      <c r="G6" s="50">
        <v>14059.13</v>
      </c>
      <c r="H6" s="50">
        <v>92165.4</v>
      </c>
      <c r="I6" s="50" t="s">
        <v>9</v>
      </c>
      <c r="J6" s="50" t="s">
        <v>87</v>
      </c>
      <c r="K6" s="50">
        <f>VLOOKUP(B6,Vendor_Master!$A:$C,3,FALSE())</f>
        <v>30</v>
      </c>
      <c r="L6" s="50">
        <f>_xlfn.XLOOKUP(B6,Vendor_Master!A:A,Vendor_Master!C:C)</f>
        <v>30</v>
      </c>
      <c r="M6" s="50">
        <f>INDEX(Vendor_Master!$C:$C,MATCH(B6,Vendor_Master!$A:$A,0))</f>
        <v>30</v>
      </c>
      <c r="N6" s="50" t="str">
        <f>IF(H6&gt;Assumptions!$B$4,"Large","")</f>
        <v>Large</v>
      </c>
      <c r="O6" s="50" t="str">
        <f>INDEX(Vendor_Master!$B:$B,MATCH(B6,Vendor_Master!$A:$A,0))</f>
        <v>Maintenance</v>
      </c>
      <c r="P6" s="50">
        <f t="shared" si="0"/>
        <v>1</v>
      </c>
    </row>
    <row r="7" spans="1:16" x14ac:dyDescent="0.25">
      <c r="A7" s="50" t="s">
        <v>105</v>
      </c>
      <c r="B7" s="50" t="s">
        <v>36</v>
      </c>
      <c r="C7" s="50" t="s">
        <v>90</v>
      </c>
      <c r="D7" s="50" t="s">
        <v>93</v>
      </c>
      <c r="E7" s="50" t="s">
        <v>104</v>
      </c>
      <c r="F7" s="50">
        <v>37283.730000000003</v>
      </c>
      <c r="G7" s="50">
        <v>6711.07</v>
      </c>
      <c r="H7" s="50">
        <v>43994.8</v>
      </c>
      <c r="I7" s="50" t="s">
        <v>9</v>
      </c>
      <c r="J7" s="50" t="s">
        <v>106</v>
      </c>
      <c r="K7" s="50">
        <f>VLOOKUP(B7,Vendor_Master!$A:$C,3,FALSE())</f>
        <v>30</v>
      </c>
      <c r="L7" s="50">
        <f>_xlfn.XLOOKUP(B7,Vendor_Master!A:A,Vendor_Master!C:C)</f>
        <v>30</v>
      </c>
      <c r="M7" s="50">
        <f>INDEX(Vendor_Master!$C:$C,MATCH(B7,Vendor_Master!$A:$A,0))</f>
        <v>30</v>
      </c>
      <c r="N7" s="50" t="str">
        <f>IF(H7&gt;Assumptions!$B$4,"Large","")</f>
        <v/>
      </c>
      <c r="O7" s="50" t="str">
        <f>INDEX(Vendor_Master!$B:$B,MATCH(B7,Vendor_Master!$A:$A,0))</f>
        <v>Landscaping</v>
      </c>
      <c r="P7" s="50">
        <f t="shared" si="0"/>
        <v>1</v>
      </c>
    </row>
    <row r="8" spans="1:16" x14ac:dyDescent="0.25">
      <c r="A8" s="50" t="s">
        <v>107</v>
      </c>
      <c r="B8" s="50" t="s">
        <v>44</v>
      </c>
      <c r="C8" s="50" t="s">
        <v>90</v>
      </c>
      <c r="D8" s="50" t="s">
        <v>108</v>
      </c>
      <c r="E8" s="50" t="s">
        <v>109</v>
      </c>
      <c r="F8" s="50">
        <v>31013.32</v>
      </c>
      <c r="G8" s="50">
        <v>5582.4</v>
      </c>
      <c r="H8" s="50">
        <v>36595.72</v>
      </c>
      <c r="I8" s="50" t="s">
        <v>9</v>
      </c>
      <c r="J8" s="50" t="s">
        <v>110</v>
      </c>
      <c r="K8" s="50">
        <f>VLOOKUP(B8,Vendor_Master!$A:$C,3,FALSE())</f>
        <v>30</v>
      </c>
      <c r="L8" s="50">
        <f>_xlfn.XLOOKUP(B8,Vendor_Master!A:A,Vendor_Master!C:C)</f>
        <v>30</v>
      </c>
      <c r="M8" s="50">
        <f>INDEX(Vendor_Master!$C:$C,MATCH(B8,Vendor_Master!$A:$A,0))</f>
        <v>30</v>
      </c>
      <c r="N8" s="50" t="str">
        <f>IF(H8&gt;Assumptions!$B$4,"Large","")</f>
        <v/>
      </c>
      <c r="O8" s="50" t="str">
        <f>INDEX(Vendor_Master!$B:$B,MATCH(B8,Vendor_Master!$A:$A,0))</f>
        <v>Repairs</v>
      </c>
      <c r="P8" s="50">
        <f t="shared" si="0"/>
        <v>1</v>
      </c>
    </row>
    <row r="9" spans="1:16" x14ac:dyDescent="0.25">
      <c r="A9" s="50" t="s">
        <v>111</v>
      </c>
      <c r="B9" s="50" t="s">
        <v>28</v>
      </c>
      <c r="C9" s="50" t="s">
        <v>99</v>
      </c>
      <c r="D9" s="50" t="s">
        <v>112</v>
      </c>
      <c r="E9" s="50" t="s">
        <v>113</v>
      </c>
      <c r="F9" s="50">
        <v>14855.62</v>
      </c>
      <c r="G9" s="50">
        <v>2674.01</v>
      </c>
      <c r="H9" s="50">
        <v>17529.63</v>
      </c>
      <c r="I9" s="50" t="s">
        <v>11</v>
      </c>
      <c r="J9" s="50"/>
      <c r="K9" s="50">
        <f>VLOOKUP(B9,Vendor_Master!$A:$C,3,FALSE())</f>
        <v>30</v>
      </c>
      <c r="L9" s="50">
        <f>_xlfn.XLOOKUP(B9,Vendor_Master!A:A,Vendor_Master!C:C)</f>
        <v>30</v>
      </c>
      <c r="M9" s="50">
        <f>INDEX(Vendor_Master!$C:$C,MATCH(B9,Vendor_Master!$A:$A,0))</f>
        <v>30</v>
      </c>
      <c r="N9" s="50" t="str">
        <f>IF(H9&gt;Assumptions!$B$4,"Large","")</f>
        <v/>
      </c>
      <c r="O9" s="50" t="str">
        <f>INDEX(Vendor_Master!$B:$B,MATCH(B9,Vendor_Master!$A:$A,0))</f>
        <v>Security</v>
      </c>
      <c r="P9" s="50">
        <f t="shared" si="0"/>
        <v>1</v>
      </c>
    </row>
    <row r="10" spans="1:16" x14ac:dyDescent="0.25">
      <c r="A10" s="50" t="s">
        <v>114</v>
      </c>
      <c r="B10" s="50" t="s">
        <v>59</v>
      </c>
      <c r="C10" s="50" t="s">
        <v>85</v>
      </c>
      <c r="D10" s="50" t="s">
        <v>115</v>
      </c>
      <c r="E10" s="50" t="s">
        <v>116</v>
      </c>
      <c r="F10" s="50">
        <v>39462.25</v>
      </c>
      <c r="G10" s="50">
        <v>7103.2</v>
      </c>
      <c r="H10" s="50">
        <v>46565.45</v>
      </c>
      <c r="I10" s="50" t="s">
        <v>9</v>
      </c>
      <c r="J10" s="50" t="s">
        <v>117</v>
      </c>
      <c r="K10" s="50">
        <f>VLOOKUP(B10,Vendor_Master!$A:$C,3,FALSE())</f>
        <v>30</v>
      </c>
      <c r="L10" s="50">
        <f>_xlfn.XLOOKUP(B10,Vendor_Master!A:A,Vendor_Master!C:C)</f>
        <v>30</v>
      </c>
      <c r="M10" s="50">
        <f>INDEX(Vendor_Master!$C:$C,MATCH(B10,Vendor_Master!$A:$A,0))</f>
        <v>30</v>
      </c>
      <c r="N10" s="50" t="str">
        <f>IF(H10&gt;Assumptions!$B$4,"Large","")</f>
        <v/>
      </c>
      <c r="O10" s="50" t="str">
        <f>INDEX(Vendor_Master!$B:$B,MATCH(B10,Vendor_Master!$A:$A,0))</f>
        <v>Marketing</v>
      </c>
      <c r="P10" s="50">
        <f t="shared" si="0"/>
        <v>1</v>
      </c>
    </row>
    <row r="11" spans="1:16" x14ac:dyDescent="0.25">
      <c r="A11" s="50" t="s">
        <v>118</v>
      </c>
      <c r="B11" s="50" t="s">
        <v>63</v>
      </c>
      <c r="C11" s="50" t="s">
        <v>90</v>
      </c>
      <c r="D11" s="50" t="s">
        <v>100</v>
      </c>
      <c r="E11" s="50" t="s">
        <v>119</v>
      </c>
      <c r="F11" s="50">
        <v>75256.95</v>
      </c>
      <c r="G11" s="50">
        <v>13546.25</v>
      </c>
      <c r="H11" s="50">
        <v>88803.199999999997</v>
      </c>
      <c r="I11" s="50" t="s">
        <v>11</v>
      </c>
      <c r="J11" s="50"/>
      <c r="K11" s="50">
        <f>VLOOKUP(B11,Vendor_Master!$A:$C,3,FALSE())</f>
        <v>30</v>
      </c>
      <c r="L11" s="50">
        <f>_xlfn.XLOOKUP(B11,Vendor_Master!A:A,Vendor_Master!C:C)</f>
        <v>30</v>
      </c>
      <c r="M11" s="50">
        <f>INDEX(Vendor_Master!$C:$C,MATCH(B11,Vendor_Master!$A:$A,0))</f>
        <v>30</v>
      </c>
      <c r="N11" s="50" t="str">
        <f>IF(H11&gt;Assumptions!$B$4,"Large","")</f>
        <v>Large</v>
      </c>
      <c r="O11" s="50" t="str">
        <f>INDEX(Vendor_Master!$B:$B,MATCH(B11,Vendor_Master!$A:$A,0))</f>
        <v>Maintenance</v>
      </c>
      <c r="P11" s="50">
        <f t="shared" si="0"/>
        <v>1</v>
      </c>
    </row>
    <row r="12" spans="1:16" x14ac:dyDescent="0.25">
      <c r="A12" s="50" t="s">
        <v>120</v>
      </c>
      <c r="B12" s="50" t="s">
        <v>28</v>
      </c>
      <c r="C12" s="50" t="s">
        <v>99</v>
      </c>
      <c r="D12" s="50" t="s">
        <v>112</v>
      </c>
      <c r="E12" s="50" t="s">
        <v>113</v>
      </c>
      <c r="F12" s="50">
        <v>32183.7</v>
      </c>
      <c r="G12" s="50">
        <v>5793.07</v>
      </c>
      <c r="H12" s="50">
        <v>37976.769999999997</v>
      </c>
      <c r="I12" s="50" t="s">
        <v>9</v>
      </c>
      <c r="J12" s="50" t="s">
        <v>121</v>
      </c>
      <c r="K12" s="50">
        <f>VLOOKUP(B12,Vendor_Master!$A:$C,3,FALSE())</f>
        <v>30</v>
      </c>
      <c r="L12" s="50">
        <f>_xlfn.XLOOKUP(B12,Vendor_Master!A:A,Vendor_Master!C:C)</f>
        <v>30</v>
      </c>
      <c r="M12" s="50">
        <f>INDEX(Vendor_Master!$C:$C,MATCH(B12,Vendor_Master!$A:$A,0))</f>
        <v>30</v>
      </c>
      <c r="N12" s="50" t="str">
        <f>IF(H12&gt;Assumptions!$B$4,"Large","")</f>
        <v/>
      </c>
      <c r="O12" s="50" t="str">
        <f>INDEX(Vendor_Master!$B:$B,MATCH(B12,Vendor_Master!$A:$A,0))</f>
        <v>Security</v>
      </c>
      <c r="P12" s="50">
        <f t="shared" si="0"/>
        <v>1</v>
      </c>
    </row>
    <row r="13" spans="1:16" x14ac:dyDescent="0.25">
      <c r="A13" s="50" t="s">
        <v>122</v>
      </c>
      <c r="B13" s="50" t="s">
        <v>63</v>
      </c>
      <c r="C13" s="50" t="s">
        <v>90</v>
      </c>
      <c r="D13" s="50" t="s">
        <v>123</v>
      </c>
      <c r="E13" s="50" t="s">
        <v>101</v>
      </c>
      <c r="F13" s="50">
        <v>69058.37</v>
      </c>
      <c r="G13" s="50">
        <v>12430.51</v>
      </c>
      <c r="H13" s="50">
        <v>81488.88</v>
      </c>
      <c r="I13" s="50" t="s">
        <v>9</v>
      </c>
      <c r="J13" s="50" t="s">
        <v>124</v>
      </c>
      <c r="K13" s="50">
        <f>VLOOKUP(B13,Vendor_Master!$A:$C,3,FALSE())</f>
        <v>30</v>
      </c>
      <c r="L13" s="50">
        <f>_xlfn.XLOOKUP(B13,Vendor_Master!A:A,Vendor_Master!C:C)</f>
        <v>30</v>
      </c>
      <c r="M13" s="50">
        <f>INDEX(Vendor_Master!$C:$C,MATCH(B13,Vendor_Master!$A:$A,0))</f>
        <v>30</v>
      </c>
      <c r="N13" s="50" t="str">
        <f>IF(H13&gt;Assumptions!$B$4,"Large","")</f>
        <v>Large</v>
      </c>
      <c r="O13" s="50" t="str">
        <f>INDEX(Vendor_Master!$B:$B,MATCH(B13,Vendor_Master!$A:$A,0))</f>
        <v>Maintenance</v>
      </c>
      <c r="P13" s="50">
        <f t="shared" si="0"/>
        <v>1</v>
      </c>
    </row>
    <row r="14" spans="1:16" x14ac:dyDescent="0.25">
      <c r="A14" s="50" t="s">
        <v>125</v>
      </c>
      <c r="B14" s="50" t="s">
        <v>56</v>
      </c>
      <c r="C14" s="50" t="s">
        <v>103</v>
      </c>
      <c r="D14" s="50" t="s">
        <v>119</v>
      </c>
      <c r="E14" s="50" t="s">
        <v>126</v>
      </c>
      <c r="F14" s="50">
        <v>29298.55</v>
      </c>
      <c r="G14" s="50">
        <v>5273.74</v>
      </c>
      <c r="H14" s="50">
        <v>34572.29</v>
      </c>
      <c r="I14" s="50" t="s">
        <v>9</v>
      </c>
      <c r="J14" s="50" t="s">
        <v>127</v>
      </c>
      <c r="K14" s="50">
        <f>VLOOKUP(B14,Vendor_Master!$A:$C,3,FALSE())</f>
        <v>45</v>
      </c>
      <c r="L14" s="50">
        <f>_xlfn.XLOOKUP(B14,Vendor_Master!A:A,Vendor_Master!C:C)</f>
        <v>45</v>
      </c>
      <c r="M14" s="50">
        <f>INDEX(Vendor_Master!$C:$C,MATCH(B14,Vendor_Master!$A:$A,0))</f>
        <v>45</v>
      </c>
      <c r="N14" s="50" t="str">
        <f>IF(H14&gt;Assumptions!$B$4,"Large","")</f>
        <v/>
      </c>
      <c r="O14" s="50" t="str">
        <f>INDEX(Vendor_Master!$B:$B,MATCH(B14,Vendor_Master!$A:$A,0))</f>
        <v>Professional Fees</v>
      </c>
      <c r="P14" s="50">
        <f t="shared" si="0"/>
        <v>2</v>
      </c>
    </row>
    <row r="15" spans="1:16" x14ac:dyDescent="0.25">
      <c r="A15" s="50" t="s">
        <v>128</v>
      </c>
      <c r="B15" s="50" t="s">
        <v>66</v>
      </c>
      <c r="C15" s="50" t="s">
        <v>99</v>
      </c>
      <c r="D15" s="50" t="s">
        <v>121</v>
      </c>
      <c r="E15" s="50" t="s">
        <v>129</v>
      </c>
      <c r="F15" s="50">
        <v>27106.52</v>
      </c>
      <c r="G15" s="50">
        <v>4879.17</v>
      </c>
      <c r="H15" s="50">
        <v>31985.69</v>
      </c>
      <c r="I15" s="50" t="s">
        <v>11</v>
      </c>
      <c r="J15" s="50"/>
      <c r="K15" s="50">
        <f>VLOOKUP(B15,Vendor_Master!$A:$C,3,FALSE())</f>
        <v>15</v>
      </c>
      <c r="L15" s="50">
        <f>_xlfn.XLOOKUP(B15,Vendor_Master!A:A,Vendor_Master!C:C)</f>
        <v>15</v>
      </c>
      <c r="M15" s="50">
        <f>INDEX(Vendor_Master!$C:$C,MATCH(B15,Vendor_Master!$A:$A,0))</f>
        <v>15</v>
      </c>
      <c r="N15" s="50" t="str">
        <f>IF(H15&gt;Assumptions!$B$4,"Large","")</f>
        <v/>
      </c>
      <c r="O15" s="50" t="str">
        <f>INDEX(Vendor_Master!$B:$B,MATCH(B15,Vendor_Master!$A:$A,0))</f>
        <v>Utilities</v>
      </c>
      <c r="P15" s="50">
        <f t="shared" si="0"/>
        <v>2</v>
      </c>
    </row>
    <row r="16" spans="1:16" x14ac:dyDescent="0.25">
      <c r="A16" s="50" t="s">
        <v>130</v>
      </c>
      <c r="B16" s="50" t="s">
        <v>24</v>
      </c>
      <c r="C16" s="50" t="s">
        <v>99</v>
      </c>
      <c r="D16" s="50" t="s">
        <v>131</v>
      </c>
      <c r="E16" s="50" t="s">
        <v>132</v>
      </c>
      <c r="F16" s="50">
        <v>79496.83</v>
      </c>
      <c r="G16" s="50">
        <v>14309.43</v>
      </c>
      <c r="H16" s="50">
        <v>93806.26</v>
      </c>
      <c r="I16" s="50" t="s">
        <v>9</v>
      </c>
      <c r="J16" s="50" t="s">
        <v>123</v>
      </c>
      <c r="K16" s="50">
        <f>VLOOKUP(B16,Vendor_Master!$A:$C,3,FALSE())</f>
        <v>30</v>
      </c>
      <c r="L16" s="50">
        <f>_xlfn.XLOOKUP(B16,Vendor_Master!A:A,Vendor_Master!C:C)</f>
        <v>30</v>
      </c>
      <c r="M16" s="50">
        <f>INDEX(Vendor_Master!$C:$C,MATCH(B16,Vendor_Master!$A:$A,0))</f>
        <v>30</v>
      </c>
      <c r="N16" s="50" t="str">
        <f>IF(H16&gt;Assumptions!$B$4,"Large","")</f>
        <v>Large</v>
      </c>
      <c r="O16" s="50" t="str">
        <f>INDEX(Vendor_Master!$B:$B,MATCH(B16,Vendor_Master!$A:$A,0))</f>
        <v>Maintenance</v>
      </c>
      <c r="P16" s="50">
        <f t="shared" si="0"/>
        <v>1</v>
      </c>
    </row>
    <row r="17" spans="1:16" x14ac:dyDescent="0.25">
      <c r="A17" s="50" t="s">
        <v>133</v>
      </c>
      <c r="B17" s="50" t="s">
        <v>36</v>
      </c>
      <c r="C17" s="50" t="s">
        <v>99</v>
      </c>
      <c r="D17" s="50" t="s">
        <v>96</v>
      </c>
      <c r="E17" s="50" t="s">
        <v>134</v>
      </c>
      <c r="F17" s="50">
        <v>84243.98</v>
      </c>
      <c r="G17" s="50">
        <v>15163.92</v>
      </c>
      <c r="H17" s="50">
        <v>99407.9</v>
      </c>
      <c r="I17" s="50" t="s">
        <v>9</v>
      </c>
      <c r="J17" s="50" t="s">
        <v>135</v>
      </c>
      <c r="K17" s="50">
        <f>VLOOKUP(B17,Vendor_Master!$A:$C,3,FALSE())</f>
        <v>30</v>
      </c>
      <c r="L17" s="50">
        <f>_xlfn.XLOOKUP(B17,Vendor_Master!A:A,Vendor_Master!C:C)</f>
        <v>30</v>
      </c>
      <c r="M17" s="50">
        <f>INDEX(Vendor_Master!$C:$C,MATCH(B17,Vendor_Master!$A:$A,0))</f>
        <v>30</v>
      </c>
      <c r="N17" s="50" t="str">
        <f>IF(H17&gt;Assumptions!$B$4,"Large","")</f>
        <v>Large</v>
      </c>
      <c r="O17" s="50" t="str">
        <f>INDEX(Vendor_Master!$B:$B,MATCH(B17,Vendor_Master!$A:$A,0))</f>
        <v>Landscaping</v>
      </c>
      <c r="P17" s="50">
        <f t="shared" si="0"/>
        <v>2</v>
      </c>
    </row>
    <row r="18" spans="1:16" x14ac:dyDescent="0.25">
      <c r="A18" s="50" t="s">
        <v>136</v>
      </c>
      <c r="B18" s="50" t="s">
        <v>48</v>
      </c>
      <c r="C18" s="50" t="s">
        <v>99</v>
      </c>
      <c r="D18" s="50" t="s">
        <v>137</v>
      </c>
      <c r="E18" s="50" t="s">
        <v>138</v>
      </c>
      <c r="F18" s="50">
        <v>47920.11</v>
      </c>
      <c r="G18" s="50">
        <v>8625.6200000000008</v>
      </c>
      <c r="H18" s="50">
        <v>56545.73</v>
      </c>
      <c r="I18" s="50" t="s">
        <v>9</v>
      </c>
      <c r="J18" s="50" t="s">
        <v>139</v>
      </c>
      <c r="K18" s="50">
        <f>VLOOKUP(B18,Vendor_Master!$A:$C,3,FALSE())</f>
        <v>45</v>
      </c>
      <c r="L18" s="50">
        <f>_xlfn.XLOOKUP(B18,Vendor_Master!A:A,Vendor_Master!C:C)</f>
        <v>45</v>
      </c>
      <c r="M18" s="50">
        <f>INDEX(Vendor_Master!$C:$C,MATCH(B18,Vendor_Master!$A:$A,0))</f>
        <v>45</v>
      </c>
      <c r="N18" s="50" t="str">
        <f>IF(H18&gt;Assumptions!$B$4,"Large","")</f>
        <v/>
      </c>
      <c r="O18" s="50" t="str">
        <f>INDEX(Vendor_Master!$B:$B,MATCH(B18,Vendor_Master!$A:$A,0))</f>
        <v>Insurance</v>
      </c>
      <c r="P18" s="50">
        <f t="shared" si="0"/>
        <v>2</v>
      </c>
    </row>
    <row r="19" spans="1:16" x14ac:dyDescent="0.25">
      <c r="A19" s="50" t="s">
        <v>140</v>
      </c>
      <c r="B19" s="50" t="s">
        <v>56</v>
      </c>
      <c r="C19" s="50" t="s">
        <v>103</v>
      </c>
      <c r="D19" s="50" t="s">
        <v>121</v>
      </c>
      <c r="E19" s="50" t="s">
        <v>141</v>
      </c>
      <c r="F19" s="50">
        <v>30858.52</v>
      </c>
      <c r="G19" s="50">
        <v>5554.53</v>
      </c>
      <c r="H19" s="50">
        <v>36413.050000000003</v>
      </c>
      <c r="I19" s="50" t="s">
        <v>11</v>
      </c>
      <c r="J19" s="50"/>
      <c r="K19" s="50">
        <f>VLOOKUP(B19,Vendor_Master!$A:$C,3,FALSE())</f>
        <v>45</v>
      </c>
      <c r="L19" s="50">
        <f>_xlfn.XLOOKUP(B19,Vendor_Master!A:A,Vendor_Master!C:C)</f>
        <v>45</v>
      </c>
      <c r="M19" s="50">
        <f>INDEX(Vendor_Master!$C:$C,MATCH(B19,Vendor_Master!$A:$A,0))</f>
        <v>45</v>
      </c>
      <c r="N19" s="50" t="str">
        <f>IF(H19&gt;Assumptions!$B$4,"Large","")</f>
        <v/>
      </c>
      <c r="O19" s="50" t="str">
        <f>INDEX(Vendor_Master!$B:$B,MATCH(B19,Vendor_Master!$A:$A,0))</f>
        <v>Professional Fees</v>
      </c>
      <c r="P19" s="50">
        <f t="shared" si="0"/>
        <v>2</v>
      </c>
    </row>
    <row r="20" spans="1:16" x14ac:dyDescent="0.25">
      <c r="A20" s="50" t="s">
        <v>142</v>
      </c>
      <c r="B20" s="50" t="s">
        <v>44</v>
      </c>
      <c r="C20" s="50" t="s">
        <v>85</v>
      </c>
      <c r="D20" s="50" t="s">
        <v>143</v>
      </c>
      <c r="E20" s="50" t="s">
        <v>144</v>
      </c>
      <c r="F20" s="50">
        <v>94767.34</v>
      </c>
      <c r="G20" s="50">
        <v>17058.12</v>
      </c>
      <c r="H20" s="50">
        <v>111825.46</v>
      </c>
      <c r="I20" s="50" t="s">
        <v>9</v>
      </c>
      <c r="J20" s="50" t="s">
        <v>119</v>
      </c>
      <c r="K20" s="50">
        <f>VLOOKUP(B20,Vendor_Master!$A:$C,3,FALSE())</f>
        <v>30</v>
      </c>
      <c r="L20" s="50">
        <f>_xlfn.XLOOKUP(B20,Vendor_Master!A:A,Vendor_Master!C:C)</f>
        <v>30</v>
      </c>
      <c r="M20" s="50">
        <f>INDEX(Vendor_Master!$C:$C,MATCH(B20,Vendor_Master!$A:$A,0))</f>
        <v>30</v>
      </c>
      <c r="N20" s="50" t="str">
        <f>IF(H20&gt;Assumptions!$B$4,"Large","")</f>
        <v>Large</v>
      </c>
      <c r="O20" s="50" t="str">
        <f>INDEX(Vendor_Master!$B:$B,MATCH(B20,Vendor_Master!$A:$A,0))</f>
        <v>Repairs</v>
      </c>
      <c r="P20" s="50">
        <f t="shared" si="0"/>
        <v>2</v>
      </c>
    </row>
    <row r="21" spans="1:16" x14ac:dyDescent="0.25">
      <c r="A21" s="50" t="s">
        <v>145</v>
      </c>
      <c r="B21" s="50" t="s">
        <v>24</v>
      </c>
      <c r="C21" s="50" t="s">
        <v>85</v>
      </c>
      <c r="D21" s="50" t="s">
        <v>146</v>
      </c>
      <c r="E21" s="50" t="s">
        <v>147</v>
      </c>
      <c r="F21" s="50">
        <v>17539.47</v>
      </c>
      <c r="G21" s="50">
        <v>3157.1</v>
      </c>
      <c r="H21" s="50">
        <v>20696.57</v>
      </c>
      <c r="I21" s="50" t="s">
        <v>11</v>
      </c>
      <c r="J21" s="50"/>
      <c r="K21" s="50">
        <f>VLOOKUP(B21,Vendor_Master!$A:$C,3,FALSE())</f>
        <v>30</v>
      </c>
      <c r="L21" s="50">
        <f>_xlfn.XLOOKUP(B21,Vendor_Master!A:A,Vendor_Master!C:C)</f>
        <v>30</v>
      </c>
      <c r="M21" s="50">
        <f>INDEX(Vendor_Master!$C:$C,MATCH(B21,Vendor_Master!$A:$A,0))</f>
        <v>30</v>
      </c>
      <c r="N21" s="50" t="str">
        <f>IF(H21&gt;Assumptions!$B$4,"Large","")</f>
        <v/>
      </c>
      <c r="O21" s="50" t="str">
        <f>INDEX(Vendor_Master!$B:$B,MATCH(B21,Vendor_Master!$A:$A,0))</f>
        <v>Maintenance</v>
      </c>
      <c r="P21" s="50">
        <f t="shared" si="0"/>
        <v>2</v>
      </c>
    </row>
    <row r="22" spans="1:16" x14ac:dyDescent="0.25">
      <c r="A22" s="50" t="s">
        <v>148</v>
      </c>
      <c r="B22" s="50" t="s">
        <v>48</v>
      </c>
      <c r="C22" s="50" t="s">
        <v>103</v>
      </c>
      <c r="D22" s="50" t="s">
        <v>149</v>
      </c>
      <c r="E22" s="50" t="s">
        <v>150</v>
      </c>
      <c r="F22" s="50">
        <v>13526.91</v>
      </c>
      <c r="G22" s="50">
        <v>2434.84</v>
      </c>
      <c r="H22" s="50">
        <v>15961.75</v>
      </c>
      <c r="I22" s="50" t="s">
        <v>9</v>
      </c>
      <c r="J22" s="50" t="s">
        <v>151</v>
      </c>
      <c r="K22" s="50">
        <f>VLOOKUP(B22,Vendor_Master!$A:$C,3,FALSE())</f>
        <v>45</v>
      </c>
      <c r="L22" s="50">
        <f>_xlfn.XLOOKUP(B22,Vendor_Master!A:A,Vendor_Master!C:C)</f>
        <v>45</v>
      </c>
      <c r="M22" s="50">
        <f>INDEX(Vendor_Master!$C:$C,MATCH(B22,Vendor_Master!$A:$A,0))</f>
        <v>45</v>
      </c>
      <c r="N22" s="50" t="str">
        <f>IF(H22&gt;Assumptions!$B$4,"Large","")</f>
        <v/>
      </c>
      <c r="O22" s="50" t="str">
        <f>INDEX(Vendor_Master!$B:$B,MATCH(B22,Vendor_Master!$A:$A,0))</f>
        <v>Insurance</v>
      </c>
      <c r="P22" s="50">
        <f t="shared" si="0"/>
        <v>2</v>
      </c>
    </row>
    <row r="23" spans="1:16" x14ac:dyDescent="0.25">
      <c r="A23" s="50" t="s">
        <v>152</v>
      </c>
      <c r="B23" s="50" t="s">
        <v>56</v>
      </c>
      <c r="C23" s="50" t="s">
        <v>90</v>
      </c>
      <c r="D23" s="50" t="s">
        <v>153</v>
      </c>
      <c r="E23" s="50" t="s">
        <v>154</v>
      </c>
      <c r="F23" s="50">
        <v>92483.82</v>
      </c>
      <c r="G23" s="50">
        <v>16647.09</v>
      </c>
      <c r="H23" s="50">
        <v>109130.91</v>
      </c>
      <c r="I23" s="50" t="s">
        <v>9</v>
      </c>
      <c r="J23" s="50" t="s">
        <v>155</v>
      </c>
      <c r="K23" s="50">
        <f>VLOOKUP(B23,Vendor_Master!$A:$C,3,FALSE())</f>
        <v>45</v>
      </c>
      <c r="L23" s="50">
        <f>_xlfn.XLOOKUP(B23,Vendor_Master!A:A,Vendor_Master!C:C)</f>
        <v>45</v>
      </c>
      <c r="M23" s="50">
        <f>INDEX(Vendor_Master!$C:$C,MATCH(B23,Vendor_Master!$A:$A,0))</f>
        <v>45</v>
      </c>
      <c r="N23" s="50" t="str">
        <f>IF(H23&gt;Assumptions!$B$4,"Large","")</f>
        <v>Large</v>
      </c>
      <c r="O23" s="50" t="str">
        <f>INDEX(Vendor_Master!$B:$B,MATCH(B23,Vendor_Master!$A:$A,0))</f>
        <v>Professional Fees</v>
      </c>
      <c r="P23" s="50">
        <f t="shared" si="0"/>
        <v>2</v>
      </c>
    </row>
    <row r="24" spans="1:16" x14ac:dyDescent="0.25">
      <c r="A24" s="50" t="s">
        <v>156</v>
      </c>
      <c r="B24" s="50" t="s">
        <v>63</v>
      </c>
      <c r="C24" s="50" t="s">
        <v>99</v>
      </c>
      <c r="D24" s="50" t="s">
        <v>157</v>
      </c>
      <c r="E24" s="50" t="s">
        <v>158</v>
      </c>
      <c r="F24" s="50">
        <v>73326.37</v>
      </c>
      <c r="G24" s="50">
        <v>13198.75</v>
      </c>
      <c r="H24" s="50">
        <v>86525.119999999995</v>
      </c>
      <c r="I24" s="50" t="s">
        <v>9</v>
      </c>
      <c r="J24" s="50" t="s">
        <v>159</v>
      </c>
      <c r="K24" s="50">
        <f>VLOOKUP(B24,Vendor_Master!$A:$C,3,FALSE())</f>
        <v>30</v>
      </c>
      <c r="L24" s="50">
        <f>_xlfn.XLOOKUP(B24,Vendor_Master!A:A,Vendor_Master!C:C)</f>
        <v>30</v>
      </c>
      <c r="M24" s="50">
        <f>INDEX(Vendor_Master!$C:$C,MATCH(B24,Vendor_Master!$A:$A,0))</f>
        <v>30</v>
      </c>
      <c r="N24" s="50" t="str">
        <f>IF(H24&gt;Assumptions!$B$4,"Large","")</f>
        <v>Large</v>
      </c>
      <c r="O24" s="50" t="str">
        <f>INDEX(Vendor_Master!$B:$B,MATCH(B24,Vendor_Master!$A:$A,0))</f>
        <v>Maintenance</v>
      </c>
      <c r="P24" s="50">
        <f t="shared" si="0"/>
        <v>2</v>
      </c>
    </row>
    <row r="25" spans="1:16" x14ac:dyDescent="0.25">
      <c r="A25" s="50" t="s">
        <v>160</v>
      </c>
      <c r="B25" s="50" t="s">
        <v>32</v>
      </c>
      <c r="C25" s="50" t="s">
        <v>99</v>
      </c>
      <c r="D25" s="50" t="s">
        <v>113</v>
      </c>
      <c r="E25" s="50" t="s">
        <v>116</v>
      </c>
      <c r="F25" s="50">
        <v>8282.34</v>
      </c>
      <c r="G25" s="50">
        <v>1490.82</v>
      </c>
      <c r="H25" s="50">
        <v>9773.16</v>
      </c>
      <c r="I25" s="50" t="s">
        <v>11</v>
      </c>
      <c r="J25" s="50"/>
      <c r="K25" s="50">
        <f>VLOOKUP(B25,Vendor_Master!$A:$C,3,FALSE())</f>
        <v>15</v>
      </c>
      <c r="L25" s="50">
        <f>_xlfn.XLOOKUP(B25,Vendor_Master!A:A,Vendor_Master!C:C)</f>
        <v>15</v>
      </c>
      <c r="M25" s="50">
        <f>INDEX(Vendor_Master!$C:$C,MATCH(B25,Vendor_Master!$A:$A,0))</f>
        <v>15</v>
      </c>
      <c r="N25" s="50" t="str">
        <f>IF(H25&gt;Assumptions!$B$4,"Large","")</f>
        <v/>
      </c>
      <c r="O25" s="50" t="str">
        <f>INDEX(Vendor_Master!$B:$B,MATCH(B25,Vendor_Master!$A:$A,0))</f>
        <v>Housekeeping</v>
      </c>
      <c r="P25" s="50">
        <f t="shared" si="0"/>
        <v>2</v>
      </c>
    </row>
    <row r="26" spans="1:16" x14ac:dyDescent="0.25">
      <c r="A26" s="50" t="s">
        <v>161</v>
      </c>
      <c r="B26" s="50" t="s">
        <v>32</v>
      </c>
      <c r="C26" s="50" t="s">
        <v>99</v>
      </c>
      <c r="D26" s="50" t="s">
        <v>162</v>
      </c>
      <c r="E26" s="50" t="s">
        <v>163</v>
      </c>
      <c r="F26" s="50">
        <v>87398.62</v>
      </c>
      <c r="G26" s="50">
        <v>15731.75</v>
      </c>
      <c r="H26" s="50">
        <v>103130.37</v>
      </c>
      <c r="I26" s="50" t="s">
        <v>11</v>
      </c>
      <c r="J26" s="50"/>
      <c r="K26" s="50">
        <f>VLOOKUP(B26,Vendor_Master!$A:$C,3,FALSE())</f>
        <v>15</v>
      </c>
      <c r="L26" s="50">
        <f>_xlfn.XLOOKUP(B26,Vendor_Master!A:A,Vendor_Master!C:C)</f>
        <v>15</v>
      </c>
      <c r="M26" s="50">
        <f>INDEX(Vendor_Master!$C:$C,MATCH(B26,Vendor_Master!$A:$A,0))</f>
        <v>15</v>
      </c>
      <c r="N26" s="50" t="str">
        <f>IF(H26&gt;Assumptions!$B$4,"Large","")</f>
        <v>Large</v>
      </c>
      <c r="O26" s="50" t="str">
        <f>INDEX(Vendor_Master!$B:$B,MATCH(B26,Vendor_Master!$A:$A,0))</f>
        <v>Housekeeping</v>
      </c>
      <c r="P26" s="50">
        <f t="shared" si="0"/>
        <v>2</v>
      </c>
    </row>
    <row r="27" spans="1:16" x14ac:dyDescent="0.25">
      <c r="A27" s="50" t="s">
        <v>164</v>
      </c>
      <c r="B27" s="50" t="s">
        <v>56</v>
      </c>
      <c r="C27" s="50" t="s">
        <v>99</v>
      </c>
      <c r="D27" s="50" t="s">
        <v>149</v>
      </c>
      <c r="E27" s="50" t="s">
        <v>150</v>
      </c>
      <c r="F27" s="50">
        <v>25305.27</v>
      </c>
      <c r="G27" s="50">
        <v>4554.95</v>
      </c>
      <c r="H27" s="50">
        <v>29860.22</v>
      </c>
      <c r="I27" s="50" t="s">
        <v>11</v>
      </c>
      <c r="J27" s="50"/>
      <c r="K27" s="50">
        <f>VLOOKUP(B27,Vendor_Master!$A:$C,3,FALSE())</f>
        <v>45</v>
      </c>
      <c r="L27" s="50">
        <f>_xlfn.XLOOKUP(B27,Vendor_Master!A:A,Vendor_Master!C:C)</f>
        <v>45</v>
      </c>
      <c r="M27" s="50">
        <f>INDEX(Vendor_Master!$C:$C,MATCH(B27,Vendor_Master!$A:$A,0))</f>
        <v>45</v>
      </c>
      <c r="N27" s="50" t="str">
        <f>IF(H27&gt;Assumptions!$B$4,"Large","")</f>
        <v/>
      </c>
      <c r="O27" s="50" t="str">
        <f>INDEX(Vendor_Master!$B:$B,MATCH(B27,Vendor_Master!$A:$A,0))</f>
        <v>Professional Fees</v>
      </c>
      <c r="P27" s="50">
        <f t="shared" si="0"/>
        <v>2</v>
      </c>
    </row>
    <row r="28" spans="1:16" x14ac:dyDescent="0.25">
      <c r="A28" s="50" t="s">
        <v>165</v>
      </c>
      <c r="B28" s="50" t="s">
        <v>56</v>
      </c>
      <c r="C28" s="50" t="s">
        <v>90</v>
      </c>
      <c r="D28" s="50" t="s">
        <v>101</v>
      </c>
      <c r="E28" s="50" t="s">
        <v>166</v>
      </c>
      <c r="F28" s="50">
        <v>88251.77</v>
      </c>
      <c r="G28" s="50">
        <v>15885.32</v>
      </c>
      <c r="H28" s="50">
        <v>104137.09</v>
      </c>
      <c r="I28" s="50" t="s">
        <v>9</v>
      </c>
      <c r="J28" s="50" t="s">
        <v>167</v>
      </c>
      <c r="K28" s="50">
        <f>VLOOKUP(B28,Vendor_Master!$A:$C,3,FALSE())</f>
        <v>45</v>
      </c>
      <c r="L28" s="50">
        <f>_xlfn.XLOOKUP(B28,Vendor_Master!A:A,Vendor_Master!C:C)</f>
        <v>45</v>
      </c>
      <c r="M28" s="50">
        <f>INDEX(Vendor_Master!$C:$C,MATCH(B28,Vendor_Master!$A:$A,0))</f>
        <v>45</v>
      </c>
      <c r="N28" s="50" t="str">
        <f>IF(H28&gt;Assumptions!$B$4,"Large","")</f>
        <v>Large</v>
      </c>
      <c r="O28" s="50" t="str">
        <f>INDEX(Vendor_Master!$B:$B,MATCH(B28,Vendor_Master!$A:$A,0))</f>
        <v>Professional Fees</v>
      </c>
      <c r="P28" s="50">
        <f t="shared" si="0"/>
        <v>2</v>
      </c>
    </row>
    <row r="29" spans="1:16" x14ac:dyDescent="0.25">
      <c r="A29" s="50" t="s">
        <v>168</v>
      </c>
      <c r="B29" s="50" t="s">
        <v>28</v>
      </c>
      <c r="C29" s="50" t="s">
        <v>99</v>
      </c>
      <c r="D29" s="50" t="s">
        <v>92</v>
      </c>
      <c r="E29" s="50" t="s">
        <v>169</v>
      </c>
      <c r="F29" s="50">
        <v>84448.8</v>
      </c>
      <c r="G29" s="50">
        <v>15200.78</v>
      </c>
      <c r="H29" s="50">
        <v>99649.58</v>
      </c>
      <c r="I29" s="50" t="s">
        <v>9</v>
      </c>
      <c r="J29" s="50" t="s">
        <v>144</v>
      </c>
      <c r="K29" s="50">
        <f>VLOOKUP(B29,Vendor_Master!$A:$C,3,FALSE())</f>
        <v>30</v>
      </c>
      <c r="L29" s="50">
        <f>_xlfn.XLOOKUP(B29,Vendor_Master!A:A,Vendor_Master!C:C)</f>
        <v>30</v>
      </c>
      <c r="M29" s="50">
        <f>INDEX(Vendor_Master!$C:$C,MATCH(B29,Vendor_Master!$A:$A,0))</f>
        <v>30</v>
      </c>
      <c r="N29" s="50" t="str">
        <f>IF(H29&gt;Assumptions!$B$4,"Large","")</f>
        <v>Large</v>
      </c>
      <c r="O29" s="50" t="str">
        <f>INDEX(Vendor_Master!$B:$B,MATCH(B29,Vendor_Master!$A:$A,0))</f>
        <v>Security</v>
      </c>
      <c r="P29" s="50">
        <f t="shared" si="0"/>
        <v>2</v>
      </c>
    </row>
    <row r="30" spans="1:16" x14ac:dyDescent="0.25">
      <c r="A30" s="50" t="s">
        <v>170</v>
      </c>
      <c r="B30" s="50" t="s">
        <v>59</v>
      </c>
      <c r="C30" s="50" t="s">
        <v>103</v>
      </c>
      <c r="D30" s="50" t="s">
        <v>162</v>
      </c>
      <c r="E30" s="50" t="s">
        <v>127</v>
      </c>
      <c r="F30" s="50">
        <v>15451.85</v>
      </c>
      <c r="G30" s="50">
        <v>2781.33</v>
      </c>
      <c r="H30" s="50">
        <v>18233.18</v>
      </c>
      <c r="I30" s="50" t="s">
        <v>11</v>
      </c>
      <c r="J30" s="50"/>
      <c r="K30" s="50">
        <f>VLOOKUP(B30,Vendor_Master!$A:$C,3,FALSE())</f>
        <v>30</v>
      </c>
      <c r="L30" s="50">
        <f>_xlfn.XLOOKUP(B30,Vendor_Master!A:A,Vendor_Master!C:C)</f>
        <v>30</v>
      </c>
      <c r="M30" s="50">
        <f>INDEX(Vendor_Master!$C:$C,MATCH(B30,Vendor_Master!$A:$A,0))</f>
        <v>30</v>
      </c>
      <c r="N30" s="50" t="str">
        <f>IF(H30&gt;Assumptions!$B$4,"Large","")</f>
        <v/>
      </c>
      <c r="O30" s="50" t="str">
        <f>INDEX(Vendor_Master!$B:$B,MATCH(B30,Vendor_Master!$A:$A,0))</f>
        <v>Marketing</v>
      </c>
      <c r="P30" s="50">
        <f t="shared" si="0"/>
        <v>2</v>
      </c>
    </row>
    <row r="31" spans="1:16" x14ac:dyDescent="0.25">
      <c r="A31" s="50" t="s">
        <v>171</v>
      </c>
      <c r="B31" s="50" t="s">
        <v>56</v>
      </c>
      <c r="C31" s="50" t="s">
        <v>103</v>
      </c>
      <c r="D31" s="50" t="s">
        <v>172</v>
      </c>
      <c r="E31" s="50" t="s">
        <v>173</v>
      </c>
      <c r="F31" s="50">
        <v>18941.16</v>
      </c>
      <c r="G31" s="50">
        <v>3409.41</v>
      </c>
      <c r="H31" s="50">
        <v>22350.57</v>
      </c>
      <c r="I31" s="50" t="s">
        <v>11</v>
      </c>
      <c r="J31" s="50"/>
      <c r="K31" s="50">
        <f>VLOOKUP(B31,Vendor_Master!$A:$C,3,FALSE())</f>
        <v>45</v>
      </c>
      <c r="L31" s="50">
        <f>_xlfn.XLOOKUP(B31,Vendor_Master!A:A,Vendor_Master!C:C)</f>
        <v>45</v>
      </c>
      <c r="M31" s="50">
        <f>INDEX(Vendor_Master!$C:$C,MATCH(B31,Vendor_Master!$A:$A,0))</f>
        <v>45</v>
      </c>
      <c r="N31" s="50" t="str">
        <f>IF(H31&gt;Assumptions!$B$4,"Large","")</f>
        <v/>
      </c>
      <c r="O31" s="50" t="str">
        <f>INDEX(Vendor_Master!$B:$B,MATCH(B31,Vendor_Master!$A:$A,0))</f>
        <v>Professional Fees</v>
      </c>
      <c r="P31" s="50">
        <f t="shared" si="0"/>
        <v>3</v>
      </c>
    </row>
    <row r="32" spans="1:16" x14ac:dyDescent="0.25">
      <c r="A32" s="50" t="s">
        <v>174</v>
      </c>
      <c r="B32" s="50" t="s">
        <v>32</v>
      </c>
      <c r="C32" s="50" t="s">
        <v>103</v>
      </c>
      <c r="D32" s="50" t="s">
        <v>110</v>
      </c>
      <c r="E32" s="50" t="s">
        <v>144</v>
      </c>
      <c r="F32" s="50">
        <v>53907.62</v>
      </c>
      <c r="G32" s="50">
        <v>9703.3700000000008</v>
      </c>
      <c r="H32" s="50">
        <v>63610.99</v>
      </c>
      <c r="I32" s="50" t="s">
        <v>11</v>
      </c>
      <c r="J32" s="50"/>
      <c r="K32" s="50">
        <f>VLOOKUP(B32,Vendor_Master!$A:$C,3,FALSE())</f>
        <v>15</v>
      </c>
      <c r="L32" s="50">
        <f>_xlfn.XLOOKUP(B32,Vendor_Master!A:A,Vendor_Master!C:C)</f>
        <v>15</v>
      </c>
      <c r="M32" s="50">
        <f>INDEX(Vendor_Master!$C:$C,MATCH(B32,Vendor_Master!$A:$A,0))</f>
        <v>15</v>
      </c>
      <c r="N32" s="50" t="str">
        <f>IF(H32&gt;Assumptions!$B$4,"Large","")</f>
        <v/>
      </c>
      <c r="O32" s="50" t="str">
        <f>INDEX(Vendor_Master!$B:$B,MATCH(B32,Vendor_Master!$A:$A,0))</f>
        <v>Housekeeping</v>
      </c>
      <c r="P32" s="50">
        <f t="shared" si="0"/>
        <v>2</v>
      </c>
    </row>
    <row r="33" spans="1:16" x14ac:dyDescent="0.25">
      <c r="A33" s="50" t="s">
        <v>175</v>
      </c>
      <c r="B33" s="50" t="s">
        <v>56</v>
      </c>
      <c r="C33" s="50" t="s">
        <v>85</v>
      </c>
      <c r="D33" s="50" t="s">
        <v>172</v>
      </c>
      <c r="E33" s="50" t="s">
        <v>173</v>
      </c>
      <c r="F33" s="50">
        <v>71504</v>
      </c>
      <c r="G33" s="50">
        <v>12870.72</v>
      </c>
      <c r="H33" s="50">
        <v>84374.720000000001</v>
      </c>
      <c r="I33" s="50" t="s">
        <v>9</v>
      </c>
      <c r="J33" s="50" t="s">
        <v>176</v>
      </c>
      <c r="K33" s="50">
        <f>VLOOKUP(B33,Vendor_Master!$A:$C,3,FALSE())</f>
        <v>45</v>
      </c>
      <c r="L33" s="50">
        <f>_xlfn.XLOOKUP(B33,Vendor_Master!A:A,Vendor_Master!C:C)</f>
        <v>45</v>
      </c>
      <c r="M33" s="50">
        <f>INDEX(Vendor_Master!$C:$C,MATCH(B33,Vendor_Master!$A:$A,0))</f>
        <v>45</v>
      </c>
      <c r="N33" s="50" t="str">
        <f>IF(H33&gt;Assumptions!$B$4,"Large","")</f>
        <v>Large</v>
      </c>
      <c r="O33" s="50" t="str">
        <f>INDEX(Vendor_Master!$B:$B,MATCH(B33,Vendor_Master!$A:$A,0))</f>
        <v>Professional Fees</v>
      </c>
      <c r="P33" s="50">
        <f t="shared" si="0"/>
        <v>3</v>
      </c>
    </row>
    <row r="34" spans="1:16" x14ac:dyDescent="0.25">
      <c r="A34" s="50" t="s">
        <v>177</v>
      </c>
      <c r="B34" s="50" t="s">
        <v>63</v>
      </c>
      <c r="C34" s="50" t="s">
        <v>103</v>
      </c>
      <c r="D34" s="50" t="s">
        <v>134</v>
      </c>
      <c r="E34" s="50" t="s">
        <v>150</v>
      </c>
      <c r="F34" s="50">
        <v>40487.58</v>
      </c>
      <c r="G34" s="50">
        <v>7287.76</v>
      </c>
      <c r="H34" s="50">
        <v>47775.34</v>
      </c>
      <c r="I34" s="50" t="s">
        <v>9</v>
      </c>
      <c r="J34" s="50" t="s">
        <v>151</v>
      </c>
      <c r="K34" s="50">
        <f>VLOOKUP(B34,Vendor_Master!$A:$C,3,FALSE())</f>
        <v>30</v>
      </c>
      <c r="L34" s="50">
        <f>_xlfn.XLOOKUP(B34,Vendor_Master!A:A,Vendor_Master!C:C)</f>
        <v>30</v>
      </c>
      <c r="M34" s="50">
        <f>INDEX(Vendor_Master!$C:$C,MATCH(B34,Vendor_Master!$A:$A,0))</f>
        <v>30</v>
      </c>
      <c r="N34" s="50" t="str">
        <f>IF(H34&gt;Assumptions!$B$4,"Large","")</f>
        <v/>
      </c>
      <c r="O34" s="50" t="str">
        <f>INDEX(Vendor_Master!$B:$B,MATCH(B34,Vendor_Master!$A:$A,0))</f>
        <v>Maintenance</v>
      </c>
      <c r="P34" s="50">
        <f t="shared" ref="P34:P65" si="1">MONTH(D34)</f>
        <v>3</v>
      </c>
    </row>
    <row r="35" spans="1:16" x14ac:dyDescent="0.25">
      <c r="A35" s="50" t="s">
        <v>178</v>
      </c>
      <c r="B35" s="50" t="s">
        <v>44</v>
      </c>
      <c r="C35" s="50" t="s">
        <v>85</v>
      </c>
      <c r="D35" s="50" t="s">
        <v>179</v>
      </c>
      <c r="E35" s="50" t="s">
        <v>180</v>
      </c>
      <c r="F35" s="50">
        <v>59182.86</v>
      </c>
      <c r="G35" s="50">
        <v>10652.91</v>
      </c>
      <c r="H35" s="50">
        <v>69835.77</v>
      </c>
      <c r="I35" s="50" t="s">
        <v>9</v>
      </c>
      <c r="J35" s="50" t="s">
        <v>116</v>
      </c>
      <c r="K35" s="50">
        <f>VLOOKUP(B35,Vendor_Master!$A:$C,3,FALSE())</f>
        <v>30</v>
      </c>
      <c r="L35" s="50">
        <f>_xlfn.XLOOKUP(B35,Vendor_Master!A:A,Vendor_Master!C:C)</f>
        <v>30</v>
      </c>
      <c r="M35" s="50">
        <f>INDEX(Vendor_Master!$C:$C,MATCH(B35,Vendor_Master!$A:$A,0))</f>
        <v>30</v>
      </c>
      <c r="N35" s="50" t="str">
        <f>IF(H35&gt;Assumptions!$B$4,"Large","")</f>
        <v/>
      </c>
      <c r="O35" s="50" t="str">
        <f>INDEX(Vendor_Master!$B:$B,MATCH(B35,Vendor_Master!$A:$A,0))</f>
        <v>Repairs</v>
      </c>
      <c r="P35" s="50">
        <f t="shared" si="1"/>
        <v>2</v>
      </c>
    </row>
    <row r="36" spans="1:16" x14ac:dyDescent="0.25">
      <c r="A36" s="50" t="s">
        <v>181</v>
      </c>
      <c r="B36" s="50" t="s">
        <v>28</v>
      </c>
      <c r="C36" s="50" t="s">
        <v>85</v>
      </c>
      <c r="D36" s="50" t="s">
        <v>139</v>
      </c>
      <c r="E36" s="50" t="s">
        <v>182</v>
      </c>
      <c r="F36" s="50">
        <v>62905.96</v>
      </c>
      <c r="G36" s="50">
        <v>11323.07</v>
      </c>
      <c r="H36" s="50">
        <v>74229.03</v>
      </c>
      <c r="I36" s="50" t="s">
        <v>9</v>
      </c>
      <c r="J36" s="50" t="s">
        <v>138</v>
      </c>
      <c r="K36" s="50">
        <f>VLOOKUP(B36,Vendor_Master!$A:$C,3,FALSE())</f>
        <v>30</v>
      </c>
      <c r="L36" s="50">
        <f>_xlfn.XLOOKUP(B36,Vendor_Master!A:A,Vendor_Master!C:C)</f>
        <v>30</v>
      </c>
      <c r="M36" s="50">
        <f>INDEX(Vendor_Master!$C:$C,MATCH(B36,Vendor_Master!$A:$A,0))</f>
        <v>30</v>
      </c>
      <c r="N36" s="50" t="str">
        <f>IF(H36&gt;Assumptions!$B$4,"Large","")</f>
        <v>Large</v>
      </c>
      <c r="O36" s="50" t="str">
        <f>INDEX(Vendor_Master!$B:$B,MATCH(B36,Vendor_Master!$A:$A,0))</f>
        <v>Security</v>
      </c>
      <c r="P36" s="50">
        <f t="shared" si="1"/>
        <v>3</v>
      </c>
    </row>
    <row r="37" spans="1:16" x14ac:dyDescent="0.25">
      <c r="A37" s="50" t="s">
        <v>183</v>
      </c>
      <c r="B37" s="50" t="s">
        <v>44</v>
      </c>
      <c r="C37" s="50" t="s">
        <v>99</v>
      </c>
      <c r="D37" s="50" t="s">
        <v>184</v>
      </c>
      <c r="E37" s="50" t="s">
        <v>176</v>
      </c>
      <c r="F37" s="50">
        <v>52731.58</v>
      </c>
      <c r="G37" s="50">
        <v>9491.68</v>
      </c>
      <c r="H37" s="50">
        <v>62223.26</v>
      </c>
      <c r="I37" s="50" t="s">
        <v>9</v>
      </c>
      <c r="J37" s="50" t="s">
        <v>185</v>
      </c>
      <c r="K37" s="50">
        <f>VLOOKUP(B37,Vendor_Master!$A:$C,3,FALSE())</f>
        <v>30</v>
      </c>
      <c r="L37" s="50">
        <f>_xlfn.XLOOKUP(B37,Vendor_Master!A:A,Vendor_Master!C:C)</f>
        <v>30</v>
      </c>
      <c r="M37" s="50">
        <f>INDEX(Vendor_Master!$C:$C,MATCH(B37,Vendor_Master!$A:$A,0))</f>
        <v>30</v>
      </c>
      <c r="N37" s="50" t="str">
        <f>IF(H37&gt;Assumptions!$B$4,"Large","")</f>
        <v/>
      </c>
      <c r="O37" s="50" t="str">
        <f>INDEX(Vendor_Master!$B:$B,MATCH(B37,Vendor_Master!$A:$A,0))</f>
        <v>Repairs</v>
      </c>
      <c r="P37" s="50">
        <f t="shared" si="1"/>
        <v>2</v>
      </c>
    </row>
    <row r="38" spans="1:16" x14ac:dyDescent="0.25">
      <c r="A38" s="50" t="s">
        <v>186</v>
      </c>
      <c r="B38" s="50" t="s">
        <v>56</v>
      </c>
      <c r="C38" s="50" t="s">
        <v>103</v>
      </c>
      <c r="D38" s="50" t="s">
        <v>135</v>
      </c>
      <c r="E38" s="50" t="s">
        <v>187</v>
      </c>
      <c r="F38" s="50">
        <v>70931.67</v>
      </c>
      <c r="G38" s="50">
        <v>12767.7</v>
      </c>
      <c r="H38" s="50">
        <v>83699.37</v>
      </c>
      <c r="I38" s="50" t="s">
        <v>9</v>
      </c>
      <c r="J38" s="50" t="s">
        <v>188</v>
      </c>
      <c r="K38" s="50">
        <f>VLOOKUP(B38,Vendor_Master!$A:$C,3,FALSE())</f>
        <v>45</v>
      </c>
      <c r="L38" s="50">
        <f>_xlfn.XLOOKUP(B38,Vendor_Master!A:A,Vendor_Master!C:C)</f>
        <v>45</v>
      </c>
      <c r="M38" s="50">
        <f>INDEX(Vendor_Master!$C:$C,MATCH(B38,Vendor_Master!$A:$A,0))</f>
        <v>45</v>
      </c>
      <c r="N38" s="50" t="str">
        <f>IF(H38&gt;Assumptions!$B$4,"Large","")</f>
        <v>Large</v>
      </c>
      <c r="O38" s="50" t="str">
        <f>INDEX(Vendor_Master!$B:$B,MATCH(B38,Vendor_Master!$A:$A,0))</f>
        <v>Professional Fees</v>
      </c>
      <c r="P38" s="50">
        <f t="shared" si="1"/>
        <v>3</v>
      </c>
    </row>
    <row r="39" spans="1:16" x14ac:dyDescent="0.25">
      <c r="A39" s="50" t="s">
        <v>189</v>
      </c>
      <c r="B39" s="50" t="s">
        <v>48</v>
      </c>
      <c r="C39" s="50" t="s">
        <v>103</v>
      </c>
      <c r="D39" s="50" t="s">
        <v>134</v>
      </c>
      <c r="E39" s="50" t="s">
        <v>190</v>
      </c>
      <c r="F39" s="50">
        <v>16206.34</v>
      </c>
      <c r="G39" s="50">
        <v>2917.14</v>
      </c>
      <c r="H39" s="50">
        <v>19123.48</v>
      </c>
      <c r="I39" s="50" t="s">
        <v>9</v>
      </c>
      <c r="J39" s="50" t="s">
        <v>147</v>
      </c>
      <c r="K39" s="50">
        <f>VLOOKUP(B39,Vendor_Master!$A:$C,3,FALSE())</f>
        <v>45</v>
      </c>
      <c r="L39" s="50">
        <f>_xlfn.XLOOKUP(B39,Vendor_Master!A:A,Vendor_Master!C:C)</f>
        <v>45</v>
      </c>
      <c r="M39" s="50">
        <f>INDEX(Vendor_Master!$C:$C,MATCH(B39,Vendor_Master!$A:$A,0))</f>
        <v>45</v>
      </c>
      <c r="N39" s="50" t="str">
        <f>IF(H39&gt;Assumptions!$B$4,"Large","")</f>
        <v/>
      </c>
      <c r="O39" s="50" t="str">
        <f>INDEX(Vendor_Master!$B:$B,MATCH(B39,Vendor_Master!$A:$A,0))</f>
        <v>Insurance</v>
      </c>
      <c r="P39" s="50">
        <f t="shared" si="1"/>
        <v>3</v>
      </c>
    </row>
    <row r="40" spans="1:16" x14ac:dyDescent="0.25">
      <c r="A40" s="50" t="s">
        <v>191</v>
      </c>
      <c r="B40" s="50" t="s">
        <v>52</v>
      </c>
      <c r="C40" s="50" t="s">
        <v>90</v>
      </c>
      <c r="D40" s="50" t="s">
        <v>169</v>
      </c>
      <c r="E40" s="50" t="s">
        <v>192</v>
      </c>
      <c r="F40" s="50">
        <v>71429.600000000006</v>
      </c>
      <c r="G40" s="50">
        <v>12857.33</v>
      </c>
      <c r="H40" s="50">
        <v>84286.93</v>
      </c>
      <c r="I40" s="50" t="s">
        <v>9</v>
      </c>
      <c r="J40" s="50" t="s">
        <v>193</v>
      </c>
      <c r="K40" s="50">
        <f>VLOOKUP(B40,Vendor_Master!$A:$C,3,FALSE())</f>
        <v>15</v>
      </c>
      <c r="L40" s="50">
        <f>_xlfn.XLOOKUP(B40,Vendor_Master!A:A,Vendor_Master!C:C)</f>
        <v>15</v>
      </c>
      <c r="M40" s="50">
        <f>INDEX(Vendor_Master!$C:$C,MATCH(B40,Vendor_Master!$A:$A,0))</f>
        <v>15</v>
      </c>
      <c r="N40" s="50" t="str">
        <f>IF(H40&gt;Assumptions!$B$4,"Large","")</f>
        <v>Large</v>
      </c>
      <c r="O40" s="50" t="str">
        <f>INDEX(Vendor_Master!$B:$B,MATCH(B40,Vendor_Master!$A:$A,0))</f>
        <v>Office Supplies</v>
      </c>
      <c r="P40" s="50">
        <f t="shared" si="1"/>
        <v>3</v>
      </c>
    </row>
    <row r="41" spans="1:16" x14ac:dyDescent="0.25">
      <c r="A41" s="50" t="s">
        <v>194</v>
      </c>
      <c r="B41" s="50" t="s">
        <v>28</v>
      </c>
      <c r="C41" s="50" t="s">
        <v>103</v>
      </c>
      <c r="D41" s="50" t="s">
        <v>195</v>
      </c>
      <c r="E41" s="50" t="s">
        <v>190</v>
      </c>
      <c r="F41" s="50">
        <v>24668.34</v>
      </c>
      <c r="G41" s="50">
        <v>4440.3</v>
      </c>
      <c r="H41" s="50">
        <v>29108.639999999999</v>
      </c>
      <c r="I41" s="50" t="s">
        <v>9</v>
      </c>
      <c r="J41" s="50" t="s">
        <v>147</v>
      </c>
      <c r="K41" s="50">
        <f>VLOOKUP(B41,Vendor_Master!$A:$C,3,FALSE())</f>
        <v>30</v>
      </c>
      <c r="L41" s="50">
        <f>_xlfn.XLOOKUP(B41,Vendor_Master!A:A,Vendor_Master!C:C)</f>
        <v>30</v>
      </c>
      <c r="M41" s="50">
        <f>INDEX(Vendor_Master!$C:$C,MATCH(B41,Vendor_Master!$A:$A,0))</f>
        <v>30</v>
      </c>
      <c r="N41" s="50" t="str">
        <f>IF(H41&gt;Assumptions!$B$4,"Large","")</f>
        <v/>
      </c>
      <c r="O41" s="50" t="str">
        <f>INDEX(Vendor_Master!$B:$B,MATCH(B41,Vendor_Master!$A:$A,0))</f>
        <v>Security</v>
      </c>
      <c r="P41" s="50">
        <f t="shared" si="1"/>
        <v>3</v>
      </c>
    </row>
    <row r="42" spans="1:16" x14ac:dyDescent="0.25">
      <c r="A42" s="50" t="s">
        <v>196</v>
      </c>
      <c r="B42" s="50" t="s">
        <v>40</v>
      </c>
      <c r="C42" s="50" t="s">
        <v>90</v>
      </c>
      <c r="D42" s="50" t="s">
        <v>197</v>
      </c>
      <c r="E42" s="50" t="s">
        <v>198</v>
      </c>
      <c r="F42" s="50">
        <v>29733.16</v>
      </c>
      <c r="G42" s="50">
        <v>5351.97</v>
      </c>
      <c r="H42" s="50">
        <v>35085.129999999997</v>
      </c>
      <c r="I42" s="50" t="s">
        <v>9</v>
      </c>
      <c r="J42" s="50" t="s">
        <v>192</v>
      </c>
      <c r="K42" s="50">
        <f>VLOOKUP(B42,Vendor_Master!$A:$C,3,FALSE())</f>
        <v>15</v>
      </c>
      <c r="L42" s="50">
        <f>_xlfn.XLOOKUP(B42,Vendor_Master!A:A,Vendor_Master!C:C)</f>
        <v>15</v>
      </c>
      <c r="M42" s="50">
        <f>INDEX(Vendor_Master!$C:$C,MATCH(B42,Vendor_Master!$A:$A,0))</f>
        <v>15</v>
      </c>
      <c r="N42" s="50" t="str">
        <f>IF(H42&gt;Assumptions!$B$4,"Large","")</f>
        <v/>
      </c>
      <c r="O42" s="50" t="str">
        <f>INDEX(Vendor_Master!$B:$B,MATCH(B42,Vendor_Master!$A:$A,0))</f>
        <v>Utilities</v>
      </c>
      <c r="P42" s="50">
        <f t="shared" si="1"/>
        <v>3</v>
      </c>
    </row>
    <row r="43" spans="1:16" x14ac:dyDescent="0.25">
      <c r="A43" s="50" t="s">
        <v>199</v>
      </c>
      <c r="B43" s="50" t="s">
        <v>28</v>
      </c>
      <c r="C43" s="50" t="s">
        <v>90</v>
      </c>
      <c r="D43" s="50" t="s">
        <v>200</v>
      </c>
      <c r="E43" s="50" t="s">
        <v>201</v>
      </c>
      <c r="F43" s="50">
        <v>64736.61</v>
      </c>
      <c r="G43" s="50">
        <v>11652.59</v>
      </c>
      <c r="H43" s="50">
        <v>76389.2</v>
      </c>
      <c r="I43" s="50" t="s">
        <v>11</v>
      </c>
      <c r="J43" s="50"/>
      <c r="K43" s="50">
        <f>VLOOKUP(B43,Vendor_Master!$A:$C,3,FALSE())</f>
        <v>30</v>
      </c>
      <c r="L43" s="50">
        <f>_xlfn.XLOOKUP(B43,Vendor_Master!A:A,Vendor_Master!C:C)</f>
        <v>30</v>
      </c>
      <c r="M43" s="50">
        <f>INDEX(Vendor_Master!$C:$C,MATCH(B43,Vendor_Master!$A:$A,0))</f>
        <v>30</v>
      </c>
      <c r="N43" s="50" t="str">
        <f>IF(H43&gt;Assumptions!$B$4,"Large","")</f>
        <v>Large</v>
      </c>
      <c r="O43" s="50" t="str">
        <f>INDEX(Vendor_Master!$B:$B,MATCH(B43,Vendor_Master!$A:$A,0))</f>
        <v>Security</v>
      </c>
      <c r="P43" s="50">
        <f t="shared" si="1"/>
        <v>3</v>
      </c>
    </row>
    <row r="44" spans="1:16" x14ac:dyDescent="0.25">
      <c r="A44" s="50" t="s">
        <v>202</v>
      </c>
      <c r="B44" s="50" t="s">
        <v>36</v>
      </c>
      <c r="C44" s="50" t="s">
        <v>103</v>
      </c>
      <c r="D44" s="50" t="s">
        <v>158</v>
      </c>
      <c r="E44" s="50" t="s">
        <v>187</v>
      </c>
      <c r="F44" s="50">
        <v>43358.02</v>
      </c>
      <c r="G44" s="50">
        <v>7804.44</v>
      </c>
      <c r="H44" s="50">
        <v>51162.46</v>
      </c>
      <c r="I44" s="50" t="s">
        <v>9</v>
      </c>
      <c r="J44" s="50" t="s">
        <v>166</v>
      </c>
      <c r="K44" s="50">
        <f>VLOOKUP(B44,Vendor_Master!$A:$C,3,FALSE())</f>
        <v>30</v>
      </c>
      <c r="L44" s="50">
        <f>_xlfn.XLOOKUP(B44,Vendor_Master!A:A,Vendor_Master!C:C)</f>
        <v>30</v>
      </c>
      <c r="M44" s="50">
        <f>INDEX(Vendor_Master!$C:$C,MATCH(B44,Vendor_Master!$A:$A,0))</f>
        <v>30</v>
      </c>
      <c r="N44" s="50" t="str">
        <f>IF(H44&gt;Assumptions!$B$4,"Large","")</f>
        <v/>
      </c>
      <c r="O44" s="50" t="str">
        <f>INDEX(Vendor_Master!$B:$B,MATCH(B44,Vendor_Master!$A:$A,0))</f>
        <v>Landscaping</v>
      </c>
      <c r="P44" s="50">
        <f t="shared" si="1"/>
        <v>3</v>
      </c>
    </row>
    <row r="45" spans="1:16" x14ac:dyDescent="0.25">
      <c r="A45" s="50" t="s">
        <v>203</v>
      </c>
      <c r="B45" s="50" t="s">
        <v>24</v>
      </c>
      <c r="C45" s="50" t="s">
        <v>103</v>
      </c>
      <c r="D45" s="50" t="s">
        <v>158</v>
      </c>
      <c r="E45" s="50" t="s">
        <v>187</v>
      </c>
      <c r="F45" s="50">
        <v>40970.660000000003</v>
      </c>
      <c r="G45" s="50">
        <v>7374.72</v>
      </c>
      <c r="H45" s="50">
        <v>48345.38</v>
      </c>
      <c r="I45" s="50" t="s">
        <v>9</v>
      </c>
      <c r="J45" s="50" t="s">
        <v>201</v>
      </c>
      <c r="K45" s="50">
        <f>VLOOKUP(B45,Vendor_Master!$A:$C,3,FALSE())</f>
        <v>30</v>
      </c>
      <c r="L45" s="50">
        <f>_xlfn.XLOOKUP(B45,Vendor_Master!A:A,Vendor_Master!C:C)</f>
        <v>30</v>
      </c>
      <c r="M45" s="50">
        <f>INDEX(Vendor_Master!$C:$C,MATCH(B45,Vendor_Master!$A:$A,0))</f>
        <v>30</v>
      </c>
      <c r="N45" s="50" t="str">
        <f>IF(H45&gt;Assumptions!$B$4,"Large","")</f>
        <v/>
      </c>
      <c r="O45" s="50" t="str">
        <f>INDEX(Vendor_Master!$B:$B,MATCH(B45,Vendor_Master!$A:$A,0))</f>
        <v>Maintenance</v>
      </c>
      <c r="P45" s="50">
        <f t="shared" si="1"/>
        <v>3</v>
      </c>
    </row>
    <row r="46" spans="1:16" x14ac:dyDescent="0.25">
      <c r="A46" s="50" t="s">
        <v>204</v>
      </c>
      <c r="B46" s="50" t="s">
        <v>40</v>
      </c>
      <c r="C46" s="50" t="s">
        <v>103</v>
      </c>
      <c r="D46" s="50" t="s">
        <v>169</v>
      </c>
      <c r="E46" s="50" t="s">
        <v>192</v>
      </c>
      <c r="F46" s="50">
        <v>68603.460000000006</v>
      </c>
      <c r="G46" s="50">
        <v>12348.62</v>
      </c>
      <c r="H46" s="50">
        <v>80952.08</v>
      </c>
      <c r="I46" s="50" t="s">
        <v>9</v>
      </c>
      <c r="J46" s="50" t="s">
        <v>205</v>
      </c>
      <c r="K46" s="50">
        <f>VLOOKUP(B46,Vendor_Master!$A:$C,3,FALSE())</f>
        <v>15</v>
      </c>
      <c r="L46" s="50">
        <f>_xlfn.XLOOKUP(B46,Vendor_Master!A:A,Vendor_Master!C:C)</f>
        <v>15</v>
      </c>
      <c r="M46" s="50">
        <f>INDEX(Vendor_Master!$C:$C,MATCH(B46,Vendor_Master!$A:$A,0))</f>
        <v>15</v>
      </c>
      <c r="N46" s="50" t="str">
        <f>IF(H46&gt;Assumptions!$B$4,"Large","")</f>
        <v>Large</v>
      </c>
      <c r="O46" s="50" t="str">
        <f>INDEX(Vendor_Master!$B:$B,MATCH(B46,Vendor_Master!$A:$A,0))</f>
        <v>Utilities</v>
      </c>
      <c r="P46" s="50">
        <f t="shared" si="1"/>
        <v>3</v>
      </c>
    </row>
    <row r="47" spans="1:16" x14ac:dyDescent="0.25">
      <c r="A47" s="50" t="s">
        <v>206</v>
      </c>
      <c r="B47" s="50" t="s">
        <v>36</v>
      </c>
      <c r="C47" s="50" t="s">
        <v>90</v>
      </c>
      <c r="D47" s="50" t="s">
        <v>200</v>
      </c>
      <c r="E47" s="50" t="s">
        <v>201</v>
      </c>
      <c r="F47" s="50">
        <v>58388.69</v>
      </c>
      <c r="G47" s="50">
        <v>10509.96</v>
      </c>
      <c r="H47" s="50">
        <v>68898.649999999994</v>
      </c>
      <c r="I47" s="50" t="s">
        <v>9</v>
      </c>
      <c r="J47" s="50" t="s">
        <v>207</v>
      </c>
      <c r="K47" s="50">
        <f>VLOOKUP(B47,Vendor_Master!$A:$C,3,FALSE())</f>
        <v>30</v>
      </c>
      <c r="L47" s="50">
        <f>_xlfn.XLOOKUP(B47,Vendor_Master!A:A,Vendor_Master!C:C)</f>
        <v>30</v>
      </c>
      <c r="M47" s="50">
        <f>INDEX(Vendor_Master!$C:$C,MATCH(B47,Vendor_Master!$A:$A,0))</f>
        <v>30</v>
      </c>
      <c r="N47" s="50" t="str">
        <f>IF(H47&gt;Assumptions!$B$4,"Large","")</f>
        <v/>
      </c>
      <c r="O47" s="50" t="str">
        <f>INDEX(Vendor_Master!$B:$B,MATCH(B47,Vendor_Master!$A:$A,0))</f>
        <v>Landscaping</v>
      </c>
      <c r="P47" s="50">
        <f t="shared" si="1"/>
        <v>3</v>
      </c>
    </row>
    <row r="48" spans="1:16" x14ac:dyDescent="0.25">
      <c r="A48" s="50" t="s">
        <v>208</v>
      </c>
      <c r="B48" s="50" t="s">
        <v>24</v>
      </c>
      <c r="C48" s="50" t="s">
        <v>85</v>
      </c>
      <c r="D48" s="50" t="s">
        <v>176</v>
      </c>
      <c r="E48" s="50" t="s">
        <v>209</v>
      </c>
      <c r="F48" s="50">
        <v>49480.6</v>
      </c>
      <c r="G48" s="50">
        <v>8906.51</v>
      </c>
      <c r="H48" s="50">
        <v>58387.11</v>
      </c>
      <c r="I48" s="50" t="s">
        <v>9</v>
      </c>
      <c r="J48" s="50" t="s">
        <v>210</v>
      </c>
      <c r="K48" s="50">
        <f>VLOOKUP(B48,Vendor_Master!$A:$C,3,FALSE())</f>
        <v>30</v>
      </c>
      <c r="L48" s="50">
        <f>_xlfn.XLOOKUP(B48,Vendor_Master!A:A,Vendor_Master!C:C)</f>
        <v>30</v>
      </c>
      <c r="M48" s="50">
        <f>INDEX(Vendor_Master!$C:$C,MATCH(B48,Vendor_Master!$A:$A,0))</f>
        <v>30</v>
      </c>
      <c r="N48" s="50" t="str">
        <f>IF(H48&gt;Assumptions!$B$4,"Large","")</f>
        <v/>
      </c>
      <c r="O48" s="50" t="str">
        <f>INDEX(Vendor_Master!$B:$B,MATCH(B48,Vendor_Master!$A:$A,0))</f>
        <v>Maintenance</v>
      </c>
      <c r="P48" s="50">
        <f t="shared" si="1"/>
        <v>3</v>
      </c>
    </row>
    <row r="49" spans="1:16" x14ac:dyDescent="0.25">
      <c r="A49" s="50" t="s">
        <v>211</v>
      </c>
      <c r="B49" s="50" t="s">
        <v>32</v>
      </c>
      <c r="C49" s="50" t="s">
        <v>85</v>
      </c>
      <c r="D49" s="50" t="s">
        <v>180</v>
      </c>
      <c r="E49" s="50" t="s">
        <v>201</v>
      </c>
      <c r="F49" s="50">
        <v>59768.05</v>
      </c>
      <c r="G49" s="50">
        <v>10758.25</v>
      </c>
      <c r="H49" s="50">
        <v>70526.3</v>
      </c>
      <c r="I49" s="50" t="s">
        <v>9</v>
      </c>
      <c r="J49" s="50" t="s">
        <v>201</v>
      </c>
      <c r="K49" s="50">
        <f>VLOOKUP(B49,Vendor_Master!$A:$C,3,FALSE())</f>
        <v>15</v>
      </c>
      <c r="L49" s="50">
        <f>_xlfn.XLOOKUP(B49,Vendor_Master!A:A,Vendor_Master!C:C)</f>
        <v>15</v>
      </c>
      <c r="M49" s="50">
        <f>INDEX(Vendor_Master!$C:$C,MATCH(B49,Vendor_Master!$A:$A,0))</f>
        <v>15</v>
      </c>
      <c r="N49" s="50" t="str">
        <f>IF(H49&gt;Assumptions!$B$4,"Large","")</f>
        <v>Large</v>
      </c>
      <c r="O49" s="50" t="str">
        <f>INDEX(Vendor_Master!$B:$B,MATCH(B49,Vendor_Master!$A:$A,0))</f>
        <v>Housekeeping</v>
      </c>
      <c r="P49" s="50">
        <f t="shared" si="1"/>
        <v>3</v>
      </c>
    </row>
    <row r="50" spans="1:16" x14ac:dyDescent="0.25">
      <c r="A50" s="50" t="s">
        <v>212</v>
      </c>
      <c r="B50" s="50" t="s">
        <v>36</v>
      </c>
      <c r="C50" s="50" t="s">
        <v>90</v>
      </c>
      <c r="D50" s="50" t="s">
        <v>213</v>
      </c>
      <c r="E50" s="50" t="s">
        <v>214</v>
      </c>
      <c r="F50" s="50">
        <v>59723.17</v>
      </c>
      <c r="G50" s="50">
        <v>10750.17</v>
      </c>
      <c r="H50" s="50">
        <v>70473.34</v>
      </c>
      <c r="I50" s="50" t="s">
        <v>9</v>
      </c>
      <c r="J50" s="50" t="s">
        <v>215</v>
      </c>
      <c r="K50" s="50">
        <f>VLOOKUP(B50,Vendor_Master!$A:$C,3,FALSE())</f>
        <v>30</v>
      </c>
      <c r="L50" s="50">
        <f>_xlfn.XLOOKUP(B50,Vendor_Master!A:A,Vendor_Master!C:C)</f>
        <v>30</v>
      </c>
      <c r="M50" s="50">
        <f>INDEX(Vendor_Master!$C:$C,MATCH(B50,Vendor_Master!$A:$A,0))</f>
        <v>30</v>
      </c>
      <c r="N50" s="50" t="str">
        <f>IF(H50&gt;Assumptions!$B$4,"Large","")</f>
        <v>Large</v>
      </c>
      <c r="O50" s="50" t="str">
        <f>INDEX(Vendor_Master!$B:$B,MATCH(B50,Vendor_Master!$A:$A,0))</f>
        <v>Landscaping</v>
      </c>
      <c r="P50" s="50">
        <f t="shared" si="1"/>
        <v>4</v>
      </c>
    </row>
    <row r="51" spans="1:16" x14ac:dyDescent="0.25">
      <c r="A51" s="50" t="s">
        <v>216</v>
      </c>
      <c r="B51" s="50" t="s">
        <v>59</v>
      </c>
      <c r="C51" s="50" t="s">
        <v>99</v>
      </c>
      <c r="D51" s="50" t="s">
        <v>217</v>
      </c>
      <c r="E51" s="50" t="s">
        <v>218</v>
      </c>
      <c r="F51" s="50">
        <v>35524.18</v>
      </c>
      <c r="G51" s="50">
        <v>6394.35</v>
      </c>
      <c r="H51" s="50">
        <v>41918.53</v>
      </c>
      <c r="I51" s="50" t="s">
        <v>9</v>
      </c>
      <c r="J51" s="50" t="s">
        <v>210</v>
      </c>
      <c r="K51" s="50">
        <f>VLOOKUP(B51,Vendor_Master!$A:$C,3,FALSE())</f>
        <v>30</v>
      </c>
      <c r="L51" s="50">
        <f>_xlfn.XLOOKUP(B51,Vendor_Master!A:A,Vendor_Master!C:C)</f>
        <v>30</v>
      </c>
      <c r="M51" s="50">
        <f>INDEX(Vendor_Master!$C:$C,MATCH(B51,Vendor_Master!$A:$A,0))</f>
        <v>30</v>
      </c>
      <c r="N51" s="50" t="str">
        <f>IF(H51&gt;Assumptions!$B$4,"Large","")</f>
        <v/>
      </c>
      <c r="O51" s="50" t="str">
        <f>INDEX(Vendor_Master!$B:$B,MATCH(B51,Vendor_Master!$A:$A,0))</f>
        <v>Marketing</v>
      </c>
      <c r="P51" s="50">
        <f t="shared" si="1"/>
        <v>4</v>
      </c>
    </row>
    <row r="52" spans="1:16" x14ac:dyDescent="0.25">
      <c r="A52" s="50" t="s">
        <v>219</v>
      </c>
      <c r="B52" s="50" t="s">
        <v>36</v>
      </c>
      <c r="C52" s="50" t="s">
        <v>99</v>
      </c>
      <c r="D52" s="50" t="s">
        <v>150</v>
      </c>
      <c r="E52" s="50" t="s">
        <v>220</v>
      </c>
      <c r="F52" s="50">
        <v>42433.37</v>
      </c>
      <c r="G52" s="50">
        <v>7638.01</v>
      </c>
      <c r="H52" s="50">
        <v>50071.38</v>
      </c>
      <c r="I52" s="50" t="s">
        <v>9</v>
      </c>
      <c r="J52" s="50" t="s">
        <v>221</v>
      </c>
      <c r="K52" s="50">
        <f>VLOOKUP(B52,Vendor_Master!$A:$C,3,FALSE())</f>
        <v>30</v>
      </c>
      <c r="L52" s="50">
        <f>_xlfn.XLOOKUP(B52,Vendor_Master!A:A,Vendor_Master!C:C)</f>
        <v>30</v>
      </c>
      <c r="M52" s="50">
        <f>INDEX(Vendor_Master!$C:$C,MATCH(B52,Vendor_Master!$A:$A,0))</f>
        <v>30</v>
      </c>
      <c r="N52" s="50" t="str">
        <f>IF(H52&gt;Assumptions!$B$4,"Large","")</f>
        <v/>
      </c>
      <c r="O52" s="50" t="str">
        <f>INDEX(Vendor_Master!$B:$B,MATCH(B52,Vendor_Master!$A:$A,0))</f>
        <v>Landscaping</v>
      </c>
      <c r="P52" s="50">
        <f t="shared" si="1"/>
        <v>4</v>
      </c>
    </row>
    <row r="53" spans="1:16" x14ac:dyDescent="0.25">
      <c r="A53" s="50" t="s">
        <v>222</v>
      </c>
      <c r="B53" s="50" t="s">
        <v>24</v>
      </c>
      <c r="C53" s="50" t="s">
        <v>90</v>
      </c>
      <c r="D53" s="50" t="s">
        <v>192</v>
      </c>
      <c r="E53" s="50" t="s">
        <v>223</v>
      </c>
      <c r="F53" s="50">
        <v>62040.86</v>
      </c>
      <c r="G53" s="50">
        <v>11167.35</v>
      </c>
      <c r="H53" s="50">
        <v>73208.210000000006</v>
      </c>
      <c r="I53" s="50" t="s">
        <v>9</v>
      </c>
      <c r="J53" s="50" t="s">
        <v>182</v>
      </c>
      <c r="K53" s="50">
        <f>VLOOKUP(B53,Vendor_Master!$A:$C,3,FALSE())</f>
        <v>30</v>
      </c>
      <c r="L53" s="50">
        <f>_xlfn.XLOOKUP(B53,Vendor_Master!A:A,Vendor_Master!C:C)</f>
        <v>30</v>
      </c>
      <c r="M53" s="50">
        <f>INDEX(Vendor_Master!$C:$C,MATCH(B53,Vendor_Master!$A:$A,0))</f>
        <v>30</v>
      </c>
      <c r="N53" s="50" t="str">
        <f>IF(H53&gt;Assumptions!$B$4,"Large","")</f>
        <v>Large</v>
      </c>
      <c r="O53" s="50" t="str">
        <f>INDEX(Vendor_Master!$B:$B,MATCH(B53,Vendor_Master!$A:$A,0))</f>
        <v>Maintenance</v>
      </c>
      <c r="P53" s="50">
        <f t="shared" si="1"/>
        <v>4</v>
      </c>
    </row>
    <row r="54" spans="1:16" x14ac:dyDescent="0.25">
      <c r="A54" s="50" t="s">
        <v>224</v>
      </c>
      <c r="B54" s="50" t="s">
        <v>56</v>
      </c>
      <c r="C54" s="50" t="s">
        <v>99</v>
      </c>
      <c r="D54" s="50" t="s">
        <v>150</v>
      </c>
      <c r="E54" s="50" t="s">
        <v>225</v>
      </c>
      <c r="F54" s="50">
        <v>19523.72</v>
      </c>
      <c r="G54" s="50">
        <v>3514.27</v>
      </c>
      <c r="H54" s="50">
        <v>23037.99</v>
      </c>
      <c r="I54" s="50" t="s">
        <v>11</v>
      </c>
      <c r="J54" s="50"/>
      <c r="K54" s="50">
        <f>VLOOKUP(B54,Vendor_Master!$A:$C,3,FALSE())</f>
        <v>45</v>
      </c>
      <c r="L54" s="50">
        <f>_xlfn.XLOOKUP(B54,Vendor_Master!A:A,Vendor_Master!C:C)</f>
        <v>45</v>
      </c>
      <c r="M54" s="50">
        <f>INDEX(Vendor_Master!$C:$C,MATCH(B54,Vendor_Master!$A:$A,0))</f>
        <v>45</v>
      </c>
      <c r="N54" s="50" t="str">
        <f>IF(H54&gt;Assumptions!$B$4,"Large","")</f>
        <v/>
      </c>
      <c r="O54" s="50" t="str">
        <f>INDEX(Vendor_Master!$B:$B,MATCH(B54,Vendor_Master!$A:$A,0))</f>
        <v>Professional Fees</v>
      </c>
      <c r="P54" s="50">
        <f t="shared" si="1"/>
        <v>4</v>
      </c>
    </row>
    <row r="55" spans="1:16" x14ac:dyDescent="0.25">
      <c r="A55" s="50" t="s">
        <v>226</v>
      </c>
      <c r="B55" s="50" t="s">
        <v>44</v>
      </c>
      <c r="C55" s="50" t="s">
        <v>99</v>
      </c>
      <c r="D55" s="50" t="s">
        <v>190</v>
      </c>
      <c r="E55" s="50" t="s">
        <v>225</v>
      </c>
      <c r="F55" s="50">
        <v>21723.97</v>
      </c>
      <c r="G55" s="50">
        <v>3910.31</v>
      </c>
      <c r="H55" s="50">
        <v>25634.28</v>
      </c>
      <c r="I55" s="50" t="s">
        <v>9</v>
      </c>
      <c r="J55" s="50" t="s">
        <v>225</v>
      </c>
      <c r="K55" s="50">
        <f>VLOOKUP(B55,Vendor_Master!$A:$C,3,FALSE())</f>
        <v>30</v>
      </c>
      <c r="L55" s="50">
        <f>_xlfn.XLOOKUP(B55,Vendor_Master!A:A,Vendor_Master!C:C)</f>
        <v>30</v>
      </c>
      <c r="M55" s="50">
        <f>INDEX(Vendor_Master!$C:$C,MATCH(B55,Vendor_Master!$A:$A,0))</f>
        <v>30</v>
      </c>
      <c r="N55" s="50" t="str">
        <f>IF(H55&gt;Assumptions!$B$4,"Large","")</f>
        <v/>
      </c>
      <c r="O55" s="50" t="str">
        <f>INDEX(Vendor_Master!$B:$B,MATCH(B55,Vendor_Master!$A:$A,0))</f>
        <v>Repairs</v>
      </c>
      <c r="P55" s="50">
        <f t="shared" si="1"/>
        <v>4</v>
      </c>
    </row>
    <row r="56" spans="1:16" x14ac:dyDescent="0.25">
      <c r="A56" s="50" t="s">
        <v>227</v>
      </c>
      <c r="B56" s="50" t="s">
        <v>24</v>
      </c>
      <c r="C56" s="50" t="s">
        <v>99</v>
      </c>
      <c r="D56" s="50" t="s">
        <v>228</v>
      </c>
      <c r="E56" s="50" t="s">
        <v>229</v>
      </c>
      <c r="F56" s="50">
        <v>79088.06</v>
      </c>
      <c r="G56" s="50">
        <v>14235.85</v>
      </c>
      <c r="H56" s="50">
        <v>93323.91</v>
      </c>
      <c r="I56" s="50" t="s">
        <v>11</v>
      </c>
      <c r="J56" s="50"/>
      <c r="K56" s="50">
        <f>VLOOKUP(B56,Vendor_Master!$A:$C,3,FALSE())</f>
        <v>30</v>
      </c>
      <c r="L56" s="50">
        <f>_xlfn.XLOOKUP(B56,Vendor_Master!A:A,Vendor_Master!C:C)</f>
        <v>30</v>
      </c>
      <c r="M56" s="50">
        <f>INDEX(Vendor_Master!$C:$C,MATCH(B56,Vendor_Master!$A:$A,0))</f>
        <v>30</v>
      </c>
      <c r="N56" s="50" t="str">
        <f>IF(H56&gt;Assumptions!$B$4,"Large","")</f>
        <v>Large</v>
      </c>
      <c r="O56" s="50" t="str">
        <f>INDEX(Vendor_Master!$B:$B,MATCH(B56,Vendor_Master!$A:$A,0))</f>
        <v>Maintenance</v>
      </c>
      <c r="P56" s="50">
        <f t="shared" si="1"/>
        <v>4</v>
      </c>
    </row>
    <row r="57" spans="1:16" x14ac:dyDescent="0.25">
      <c r="A57" s="50" t="s">
        <v>230</v>
      </c>
      <c r="B57" s="50" t="s">
        <v>28</v>
      </c>
      <c r="C57" s="50" t="s">
        <v>90</v>
      </c>
      <c r="D57" s="50" t="s">
        <v>213</v>
      </c>
      <c r="E57" s="50" t="s">
        <v>214</v>
      </c>
      <c r="F57" s="50">
        <v>31008.54</v>
      </c>
      <c r="G57" s="50">
        <v>5581.54</v>
      </c>
      <c r="H57" s="50">
        <v>36590.080000000002</v>
      </c>
      <c r="I57" s="50" t="s">
        <v>9</v>
      </c>
      <c r="J57" s="50" t="s">
        <v>182</v>
      </c>
      <c r="K57" s="50">
        <f>VLOOKUP(B57,Vendor_Master!$A:$C,3,FALSE())</f>
        <v>30</v>
      </c>
      <c r="L57" s="50">
        <f>_xlfn.XLOOKUP(B57,Vendor_Master!A:A,Vendor_Master!C:C)</f>
        <v>30</v>
      </c>
      <c r="M57" s="50">
        <f>INDEX(Vendor_Master!$C:$C,MATCH(B57,Vendor_Master!$A:$A,0))</f>
        <v>30</v>
      </c>
      <c r="N57" s="50" t="str">
        <f>IF(H57&gt;Assumptions!$B$4,"Large","")</f>
        <v/>
      </c>
      <c r="O57" s="50" t="str">
        <f>INDEX(Vendor_Master!$B:$B,MATCH(B57,Vendor_Master!$A:$A,0))</f>
        <v>Security</v>
      </c>
      <c r="P57" s="50">
        <f t="shared" si="1"/>
        <v>4</v>
      </c>
    </row>
    <row r="58" spans="1:16" x14ac:dyDescent="0.25">
      <c r="A58" s="50" t="s">
        <v>231</v>
      </c>
      <c r="B58" s="50" t="s">
        <v>40</v>
      </c>
      <c r="C58" s="50" t="s">
        <v>99</v>
      </c>
      <c r="D58" s="50" t="s">
        <v>190</v>
      </c>
      <c r="E58" s="50" t="s">
        <v>220</v>
      </c>
      <c r="F58" s="50">
        <v>60620.19</v>
      </c>
      <c r="G58" s="50">
        <v>10911.63</v>
      </c>
      <c r="H58" s="50">
        <v>71531.820000000007</v>
      </c>
      <c r="I58" s="50" t="s">
        <v>9</v>
      </c>
      <c r="J58" s="50" t="s">
        <v>232</v>
      </c>
      <c r="K58" s="50">
        <f>VLOOKUP(B58,Vendor_Master!$A:$C,3,FALSE())</f>
        <v>15</v>
      </c>
      <c r="L58" s="50">
        <f>_xlfn.XLOOKUP(B58,Vendor_Master!A:A,Vendor_Master!C:C)</f>
        <v>15</v>
      </c>
      <c r="M58" s="50">
        <f>INDEX(Vendor_Master!$C:$C,MATCH(B58,Vendor_Master!$A:$A,0))</f>
        <v>15</v>
      </c>
      <c r="N58" s="50" t="str">
        <f>IF(H58&gt;Assumptions!$B$4,"Large","")</f>
        <v>Large</v>
      </c>
      <c r="O58" s="50" t="str">
        <f>INDEX(Vendor_Master!$B:$B,MATCH(B58,Vendor_Master!$A:$A,0))</f>
        <v>Utilities</v>
      </c>
      <c r="P58" s="50">
        <f t="shared" si="1"/>
        <v>4</v>
      </c>
    </row>
    <row r="59" spans="1:16" x14ac:dyDescent="0.25">
      <c r="A59" s="50" t="s">
        <v>233</v>
      </c>
      <c r="B59" s="50" t="s">
        <v>40</v>
      </c>
      <c r="C59" s="50" t="s">
        <v>90</v>
      </c>
      <c r="D59" s="50" t="s">
        <v>234</v>
      </c>
      <c r="E59" s="50" t="s">
        <v>235</v>
      </c>
      <c r="F59" s="50">
        <v>50502.27</v>
      </c>
      <c r="G59" s="50">
        <v>9090.41</v>
      </c>
      <c r="H59" s="50">
        <v>59592.68</v>
      </c>
      <c r="I59" s="50" t="s">
        <v>9</v>
      </c>
      <c r="J59" s="50" t="s">
        <v>232</v>
      </c>
      <c r="K59" s="50">
        <f>VLOOKUP(B59,Vendor_Master!$A:$C,3,FALSE())</f>
        <v>15</v>
      </c>
      <c r="L59" s="50">
        <f>_xlfn.XLOOKUP(B59,Vendor_Master!A:A,Vendor_Master!C:C)</f>
        <v>15</v>
      </c>
      <c r="M59" s="50">
        <f>INDEX(Vendor_Master!$C:$C,MATCH(B59,Vendor_Master!$A:$A,0))</f>
        <v>15</v>
      </c>
      <c r="N59" s="50" t="str">
        <f>IF(H59&gt;Assumptions!$B$4,"Large","")</f>
        <v/>
      </c>
      <c r="O59" s="50" t="str">
        <f>INDEX(Vendor_Master!$B:$B,MATCH(B59,Vendor_Master!$A:$A,0))</f>
        <v>Utilities</v>
      </c>
      <c r="P59" s="50">
        <f t="shared" si="1"/>
        <v>4</v>
      </c>
    </row>
    <row r="60" spans="1:16" x14ac:dyDescent="0.25">
      <c r="A60" s="50" t="s">
        <v>236</v>
      </c>
      <c r="B60" s="50" t="s">
        <v>40</v>
      </c>
      <c r="C60" s="50" t="s">
        <v>85</v>
      </c>
      <c r="D60" s="50" t="s">
        <v>198</v>
      </c>
      <c r="E60" s="50" t="s">
        <v>234</v>
      </c>
      <c r="F60" s="50">
        <v>8308.4699999999993</v>
      </c>
      <c r="G60" s="50">
        <v>1495.52</v>
      </c>
      <c r="H60" s="50">
        <v>9803.99</v>
      </c>
      <c r="I60" s="50" t="s">
        <v>9</v>
      </c>
      <c r="J60" s="50" t="s">
        <v>237</v>
      </c>
      <c r="K60" s="50">
        <f>VLOOKUP(B60,Vendor_Master!$A:$C,3,FALSE())</f>
        <v>15</v>
      </c>
      <c r="L60" s="50">
        <f>_xlfn.XLOOKUP(B60,Vendor_Master!A:A,Vendor_Master!C:C)</f>
        <v>15</v>
      </c>
      <c r="M60" s="50">
        <f>INDEX(Vendor_Master!$C:$C,MATCH(B60,Vendor_Master!$A:$A,0))</f>
        <v>15</v>
      </c>
      <c r="N60" s="50" t="str">
        <f>IF(H60&gt;Assumptions!$B$4,"Large","")</f>
        <v/>
      </c>
      <c r="O60" s="50" t="str">
        <f>INDEX(Vendor_Master!$B:$B,MATCH(B60,Vendor_Master!$A:$A,0))</f>
        <v>Utilities</v>
      </c>
      <c r="P60" s="50">
        <f t="shared" si="1"/>
        <v>4</v>
      </c>
    </row>
    <row r="61" spans="1:16" x14ac:dyDescent="0.25">
      <c r="A61" s="50" t="s">
        <v>238</v>
      </c>
      <c r="B61" s="50" t="s">
        <v>32</v>
      </c>
      <c r="C61" s="50" t="s">
        <v>103</v>
      </c>
      <c r="D61" s="50" t="s">
        <v>239</v>
      </c>
      <c r="E61" s="50" t="s">
        <v>215</v>
      </c>
      <c r="F61" s="50">
        <v>46439.69</v>
      </c>
      <c r="G61" s="50">
        <v>8359.14</v>
      </c>
      <c r="H61" s="50">
        <v>54798.83</v>
      </c>
      <c r="I61" s="50" t="s">
        <v>9</v>
      </c>
      <c r="J61" s="50" t="s">
        <v>220</v>
      </c>
      <c r="K61" s="50">
        <f>VLOOKUP(B61,Vendor_Master!$A:$C,3,FALSE())</f>
        <v>15</v>
      </c>
      <c r="L61" s="50">
        <f>_xlfn.XLOOKUP(B61,Vendor_Master!A:A,Vendor_Master!C:C)</f>
        <v>15</v>
      </c>
      <c r="M61" s="50">
        <f>INDEX(Vendor_Master!$C:$C,MATCH(B61,Vendor_Master!$A:$A,0))</f>
        <v>15</v>
      </c>
      <c r="N61" s="50" t="str">
        <f>IF(H61&gt;Assumptions!$B$4,"Large","")</f>
        <v/>
      </c>
      <c r="O61" s="50" t="str">
        <f>INDEX(Vendor_Master!$B:$B,MATCH(B61,Vendor_Master!$A:$A,0))</f>
        <v>Housekeeping</v>
      </c>
      <c r="P61" s="50">
        <f t="shared" si="1"/>
        <v>5</v>
      </c>
    </row>
    <row r="62" spans="1:16" x14ac:dyDescent="0.25">
      <c r="A62" s="50" t="s">
        <v>240</v>
      </c>
      <c r="B62" s="50" t="s">
        <v>66</v>
      </c>
      <c r="C62" s="50" t="s">
        <v>99</v>
      </c>
      <c r="D62" s="50" t="s">
        <v>241</v>
      </c>
      <c r="E62" s="50" t="s">
        <v>242</v>
      </c>
      <c r="F62" s="50">
        <v>55466.36</v>
      </c>
      <c r="G62" s="50">
        <v>9983.94</v>
      </c>
      <c r="H62" s="50">
        <v>65450.3</v>
      </c>
      <c r="I62" s="50" t="s">
        <v>9</v>
      </c>
      <c r="J62" s="50" t="s">
        <v>210</v>
      </c>
      <c r="K62" s="50">
        <f>VLOOKUP(B62,Vendor_Master!$A:$C,3,FALSE())</f>
        <v>15</v>
      </c>
      <c r="L62" s="50">
        <f>_xlfn.XLOOKUP(B62,Vendor_Master!A:A,Vendor_Master!C:C)</f>
        <v>15</v>
      </c>
      <c r="M62" s="50">
        <f>INDEX(Vendor_Master!$C:$C,MATCH(B62,Vendor_Master!$A:$A,0))</f>
        <v>15</v>
      </c>
      <c r="N62" s="50" t="str">
        <f>IF(H62&gt;Assumptions!$B$4,"Large","")</f>
        <v/>
      </c>
      <c r="O62" s="50" t="str">
        <f>INDEX(Vendor_Master!$B:$B,MATCH(B62,Vendor_Master!$A:$A,0))</f>
        <v>Utilities</v>
      </c>
      <c r="P62" s="50">
        <f t="shared" si="1"/>
        <v>4</v>
      </c>
    </row>
    <row r="63" spans="1:16" x14ac:dyDescent="0.25">
      <c r="A63" s="50" t="s">
        <v>243</v>
      </c>
      <c r="B63" s="50" t="s">
        <v>48</v>
      </c>
      <c r="C63" s="50" t="s">
        <v>99</v>
      </c>
      <c r="D63" s="50" t="s">
        <v>241</v>
      </c>
      <c r="E63" s="50" t="s">
        <v>244</v>
      </c>
      <c r="F63" s="50">
        <v>11639.11</v>
      </c>
      <c r="G63" s="50">
        <v>2095.04</v>
      </c>
      <c r="H63" s="50">
        <v>13734.15</v>
      </c>
      <c r="I63" s="50" t="s">
        <v>11</v>
      </c>
      <c r="J63" s="50"/>
      <c r="K63" s="50">
        <f>VLOOKUP(B63,Vendor_Master!$A:$C,3,FALSE())</f>
        <v>45</v>
      </c>
      <c r="L63" s="50">
        <f>_xlfn.XLOOKUP(B63,Vendor_Master!A:A,Vendor_Master!C:C)</f>
        <v>45</v>
      </c>
      <c r="M63" s="50">
        <f>INDEX(Vendor_Master!$C:$C,MATCH(B63,Vendor_Master!$A:$A,0))</f>
        <v>45</v>
      </c>
      <c r="N63" s="50" t="str">
        <f>IF(H63&gt;Assumptions!$B$4,"Large","")</f>
        <v/>
      </c>
      <c r="O63" s="50" t="str">
        <f>INDEX(Vendor_Master!$B:$B,MATCH(B63,Vendor_Master!$A:$A,0))</f>
        <v>Insurance</v>
      </c>
      <c r="P63" s="50">
        <f t="shared" si="1"/>
        <v>4</v>
      </c>
    </row>
    <row r="64" spans="1:16" x14ac:dyDescent="0.25">
      <c r="A64" s="50" t="s">
        <v>245</v>
      </c>
      <c r="B64" s="50" t="s">
        <v>24</v>
      </c>
      <c r="C64" s="50" t="s">
        <v>85</v>
      </c>
      <c r="D64" s="50" t="s">
        <v>246</v>
      </c>
      <c r="E64" s="50" t="s">
        <v>247</v>
      </c>
      <c r="F64" s="50">
        <v>26276.66</v>
      </c>
      <c r="G64" s="50">
        <v>4729.8</v>
      </c>
      <c r="H64" s="50">
        <v>31006.46</v>
      </c>
      <c r="I64" s="50" t="s">
        <v>9</v>
      </c>
      <c r="J64" s="50" t="s">
        <v>248</v>
      </c>
      <c r="K64" s="50">
        <f>VLOOKUP(B64,Vendor_Master!$A:$C,3,FALSE())</f>
        <v>30</v>
      </c>
      <c r="L64" s="50">
        <f>_xlfn.XLOOKUP(B64,Vendor_Master!A:A,Vendor_Master!C:C)</f>
        <v>30</v>
      </c>
      <c r="M64" s="50">
        <f>INDEX(Vendor_Master!$C:$C,MATCH(B64,Vendor_Master!$A:$A,0))</f>
        <v>30</v>
      </c>
      <c r="N64" s="50" t="str">
        <f>IF(H64&gt;Assumptions!$B$4,"Large","")</f>
        <v/>
      </c>
      <c r="O64" s="50" t="str">
        <f>INDEX(Vendor_Master!$B:$B,MATCH(B64,Vendor_Master!$A:$A,0))</f>
        <v>Maintenance</v>
      </c>
      <c r="P64" s="50">
        <f t="shared" si="1"/>
        <v>5</v>
      </c>
    </row>
    <row r="65" spans="1:16" x14ac:dyDescent="0.25">
      <c r="A65" s="50" t="s">
        <v>249</v>
      </c>
      <c r="B65" s="50" t="s">
        <v>56</v>
      </c>
      <c r="C65" s="50" t="s">
        <v>85</v>
      </c>
      <c r="D65" s="50" t="s">
        <v>250</v>
      </c>
      <c r="E65" s="50" t="s">
        <v>251</v>
      </c>
      <c r="F65" s="50">
        <v>43354.83</v>
      </c>
      <c r="G65" s="50">
        <v>7803.87</v>
      </c>
      <c r="H65" s="50">
        <v>51158.7</v>
      </c>
      <c r="I65" s="50" t="s">
        <v>9</v>
      </c>
      <c r="J65" s="50" t="s">
        <v>229</v>
      </c>
      <c r="K65" s="50">
        <f>VLOOKUP(B65,Vendor_Master!$A:$C,3,FALSE())</f>
        <v>45</v>
      </c>
      <c r="L65" s="50">
        <f>_xlfn.XLOOKUP(B65,Vendor_Master!A:A,Vendor_Master!C:C)</f>
        <v>45</v>
      </c>
      <c r="M65" s="50">
        <f>INDEX(Vendor_Master!$C:$C,MATCH(B65,Vendor_Master!$A:$A,0))</f>
        <v>45</v>
      </c>
      <c r="N65" s="50" t="str">
        <f>IF(H65&gt;Assumptions!$B$4,"Large","")</f>
        <v/>
      </c>
      <c r="O65" s="50" t="str">
        <f>INDEX(Vendor_Master!$B:$B,MATCH(B65,Vendor_Master!$A:$A,0))</f>
        <v>Professional Fees</v>
      </c>
      <c r="P65" s="50">
        <f t="shared" si="1"/>
        <v>5</v>
      </c>
    </row>
    <row r="66" spans="1:16" x14ac:dyDescent="0.25">
      <c r="A66" s="50" t="s">
        <v>252</v>
      </c>
      <c r="B66" s="50" t="s">
        <v>32</v>
      </c>
      <c r="C66" s="50" t="s">
        <v>103</v>
      </c>
      <c r="D66" s="50" t="s">
        <v>225</v>
      </c>
      <c r="E66" s="50" t="s">
        <v>253</v>
      </c>
      <c r="F66" s="50">
        <v>78537.14</v>
      </c>
      <c r="G66" s="50">
        <v>14136.69</v>
      </c>
      <c r="H66" s="50">
        <v>92673.83</v>
      </c>
      <c r="I66" s="50" t="s">
        <v>9</v>
      </c>
      <c r="J66" s="50" t="s">
        <v>254</v>
      </c>
      <c r="K66" s="50">
        <f>VLOOKUP(B66,Vendor_Master!$A:$C,3,FALSE())</f>
        <v>15</v>
      </c>
      <c r="L66" s="50">
        <f>_xlfn.XLOOKUP(B66,Vendor_Master!A:A,Vendor_Master!C:C)</f>
        <v>15</v>
      </c>
      <c r="M66" s="50">
        <f>INDEX(Vendor_Master!$C:$C,MATCH(B66,Vendor_Master!$A:$A,0))</f>
        <v>15</v>
      </c>
      <c r="N66" s="50" t="str">
        <f>IF(H66&gt;Assumptions!$B$4,"Large","")</f>
        <v>Large</v>
      </c>
      <c r="O66" s="50" t="str">
        <f>INDEX(Vendor_Master!$B:$B,MATCH(B66,Vendor_Master!$A:$A,0))</f>
        <v>Housekeeping</v>
      </c>
      <c r="P66" s="50">
        <f t="shared" ref="P66:P97" si="2">MONTH(D66)</f>
        <v>5</v>
      </c>
    </row>
    <row r="67" spans="1:16" x14ac:dyDescent="0.25">
      <c r="A67" s="50" t="s">
        <v>255</v>
      </c>
      <c r="B67" s="50" t="s">
        <v>44</v>
      </c>
      <c r="C67" s="50" t="s">
        <v>85</v>
      </c>
      <c r="D67" s="50" t="s">
        <v>225</v>
      </c>
      <c r="E67" s="50" t="s">
        <v>256</v>
      </c>
      <c r="F67" s="50">
        <v>88980.98</v>
      </c>
      <c r="G67" s="50">
        <v>16016.58</v>
      </c>
      <c r="H67" s="50">
        <v>104997.56</v>
      </c>
      <c r="I67" s="50" t="s">
        <v>9</v>
      </c>
      <c r="J67" s="50" t="s">
        <v>257</v>
      </c>
      <c r="K67" s="50">
        <f>VLOOKUP(B67,Vendor_Master!$A:$C,3,FALSE())</f>
        <v>30</v>
      </c>
      <c r="L67" s="50">
        <f>_xlfn.XLOOKUP(B67,Vendor_Master!A:A,Vendor_Master!C:C)</f>
        <v>30</v>
      </c>
      <c r="M67" s="50">
        <f>INDEX(Vendor_Master!$C:$C,MATCH(B67,Vendor_Master!$A:$A,0))</f>
        <v>30</v>
      </c>
      <c r="N67" s="50" t="str">
        <f>IF(H67&gt;Assumptions!$B$4,"Large","")</f>
        <v>Large</v>
      </c>
      <c r="O67" s="50" t="str">
        <f>INDEX(Vendor_Master!$B:$B,MATCH(B67,Vendor_Master!$A:$A,0))</f>
        <v>Repairs</v>
      </c>
      <c r="P67" s="50">
        <f t="shared" si="2"/>
        <v>5</v>
      </c>
    </row>
    <row r="68" spans="1:16" x14ac:dyDescent="0.25">
      <c r="A68" s="50" t="s">
        <v>258</v>
      </c>
      <c r="B68" s="50" t="s">
        <v>24</v>
      </c>
      <c r="C68" s="50" t="s">
        <v>85</v>
      </c>
      <c r="D68" s="50" t="s">
        <v>247</v>
      </c>
      <c r="E68" s="50" t="s">
        <v>259</v>
      </c>
      <c r="F68" s="50">
        <v>48950.03</v>
      </c>
      <c r="G68" s="50">
        <v>8811.01</v>
      </c>
      <c r="H68" s="50">
        <v>57761.04</v>
      </c>
      <c r="I68" s="50" t="s">
        <v>9</v>
      </c>
      <c r="J68" s="50" t="s">
        <v>260</v>
      </c>
      <c r="K68" s="50">
        <f>VLOOKUP(B68,Vendor_Master!$A:$C,3,FALSE())</f>
        <v>30</v>
      </c>
      <c r="L68" s="50">
        <f>_xlfn.XLOOKUP(B68,Vendor_Master!A:A,Vendor_Master!C:C)</f>
        <v>30</v>
      </c>
      <c r="M68" s="50">
        <f>INDEX(Vendor_Master!$C:$C,MATCH(B68,Vendor_Master!$A:$A,0))</f>
        <v>30</v>
      </c>
      <c r="N68" s="50" t="str">
        <f>IF(H68&gt;Assumptions!$B$4,"Large","")</f>
        <v/>
      </c>
      <c r="O68" s="50" t="str">
        <f>INDEX(Vendor_Master!$B:$B,MATCH(B68,Vendor_Master!$A:$A,0))</f>
        <v>Maintenance</v>
      </c>
      <c r="P68" s="50">
        <f t="shared" si="2"/>
        <v>6</v>
      </c>
    </row>
    <row r="69" spans="1:16" x14ac:dyDescent="0.25">
      <c r="A69" s="50" t="s">
        <v>261</v>
      </c>
      <c r="B69" s="50" t="s">
        <v>44</v>
      </c>
      <c r="C69" s="50" t="s">
        <v>85</v>
      </c>
      <c r="D69" s="50" t="s">
        <v>262</v>
      </c>
      <c r="E69" s="50" t="s">
        <v>263</v>
      </c>
      <c r="F69" s="50">
        <v>79386.67</v>
      </c>
      <c r="G69" s="50">
        <v>14289.6</v>
      </c>
      <c r="H69" s="50">
        <v>93676.27</v>
      </c>
      <c r="I69" s="50" t="s">
        <v>9</v>
      </c>
      <c r="J69" s="50" t="s">
        <v>264</v>
      </c>
      <c r="K69" s="50">
        <f>VLOOKUP(B69,Vendor_Master!$A:$C,3,FALSE())</f>
        <v>30</v>
      </c>
      <c r="L69" s="50">
        <f>_xlfn.XLOOKUP(B69,Vendor_Master!A:A,Vendor_Master!C:C)</f>
        <v>30</v>
      </c>
      <c r="M69" s="50">
        <f>INDEX(Vendor_Master!$C:$C,MATCH(B69,Vendor_Master!$A:$A,0))</f>
        <v>30</v>
      </c>
      <c r="N69" s="50" t="str">
        <f>IF(H69&gt;Assumptions!$B$4,"Large","")</f>
        <v>Large</v>
      </c>
      <c r="O69" s="50" t="str">
        <f>INDEX(Vendor_Master!$B:$B,MATCH(B69,Vendor_Master!$A:$A,0))</f>
        <v>Repairs</v>
      </c>
      <c r="P69" s="50">
        <f t="shared" si="2"/>
        <v>5</v>
      </c>
    </row>
    <row r="70" spans="1:16" x14ac:dyDescent="0.25">
      <c r="A70" s="50" t="s">
        <v>265</v>
      </c>
      <c r="B70" s="50" t="s">
        <v>48</v>
      </c>
      <c r="C70" s="50" t="s">
        <v>90</v>
      </c>
      <c r="D70" s="50" t="s">
        <v>215</v>
      </c>
      <c r="E70" s="50" t="s">
        <v>266</v>
      </c>
      <c r="F70" s="50">
        <v>32238.47</v>
      </c>
      <c r="G70" s="50">
        <v>5802.92</v>
      </c>
      <c r="H70" s="50">
        <v>38041.39</v>
      </c>
      <c r="I70" s="50" t="s">
        <v>9</v>
      </c>
      <c r="J70" s="50" t="s">
        <v>267</v>
      </c>
      <c r="K70" s="50">
        <f>VLOOKUP(B70,Vendor_Master!$A:$C,3,FALSE())</f>
        <v>45</v>
      </c>
      <c r="L70" s="50">
        <f>_xlfn.XLOOKUP(B70,Vendor_Master!A:A,Vendor_Master!C:C)</f>
        <v>45</v>
      </c>
      <c r="M70" s="50">
        <f>INDEX(Vendor_Master!$C:$C,MATCH(B70,Vendor_Master!$A:$A,0))</f>
        <v>45</v>
      </c>
      <c r="N70" s="50" t="str">
        <f>IF(H70&gt;Assumptions!$B$4,"Large","")</f>
        <v/>
      </c>
      <c r="O70" s="50" t="str">
        <f>INDEX(Vendor_Master!$B:$B,MATCH(B70,Vendor_Master!$A:$A,0))</f>
        <v>Insurance</v>
      </c>
      <c r="P70" s="50">
        <f t="shared" si="2"/>
        <v>5</v>
      </c>
    </row>
    <row r="71" spans="1:16" x14ac:dyDescent="0.25">
      <c r="A71" s="50" t="s">
        <v>268</v>
      </c>
      <c r="B71" s="50" t="s">
        <v>44</v>
      </c>
      <c r="C71" s="50" t="s">
        <v>99</v>
      </c>
      <c r="D71" s="50" t="s">
        <v>269</v>
      </c>
      <c r="E71" s="50" t="s">
        <v>270</v>
      </c>
      <c r="F71" s="50">
        <v>52318.29</v>
      </c>
      <c r="G71" s="50">
        <v>9417.2900000000009</v>
      </c>
      <c r="H71" s="50">
        <v>61735.58</v>
      </c>
      <c r="I71" s="50" t="s">
        <v>11</v>
      </c>
      <c r="J71" s="50"/>
      <c r="K71" s="50">
        <f>VLOOKUP(B71,Vendor_Master!$A:$C,3,FALSE())</f>
        <v>30</v>
      </c>
      <c r="L71" s="50">
        <f>_xlfn.XLOOKUP(B71,Vendor_Master!A:A,Vendor_Master!C:C)</f>
        <v>30</v>
      </c>
      <c r="M71" s="50">
        <f>INDEX(Vendor_Master!$C:$C,MATCH(B71,Vendor_Master!$A:$A,0))</f>
        <v>30</v>
      </c>
      <c r="N71" s="50" t="str">
        <f>IF(H71&gt;Assumptions!$B$4,"Large","")</f>
        <v/>
      </c>
      <c r="O71" s="50" t="str">
        <f>INDEX(Vendor_Master!$B:$B,MATCH(B71,Vendor_Master!$A:$A,0))</f>
        <v>Repairs</v>
      </c>
      <c r="P71" s="50">
        <f t="shared" si="2"/>
        <v>5</v>
      </c>
    </row>
    <row r="72" spans="1:16" x14ac:dyDescent="0.25">
      <c r="A72" s="50" t="s">
        <v>271</v>
      </c>
      <c r="B72" s="50" t="s">
        <v>28</v>
      </c>
      <c r="C72" s="50" t="s">
        <v>99</v>
      </c>
      <c r="D72" s="50" t="s">
        <v>272</v>
      </c>
      <c r="E72" s="50" t="s">
        <v>273</v>
      </c>
      <c r="F72" s="50">
        <v>23535.4</v>
      </c>
      <c r="G72" s="50">
        <v>4236.37</v>
      </c>
      <c r="H72" s="50">
        <v>27771.77</v>
      </c>
      <c r="I72" s="50" t="s">
        <v>9</v>
      </c>
      <c r="J72" s="50" t="s">
        <v>274</v>
      </c>
      <c r="K72" s="50">
        <f>VLOOKUP(B72,Vendor_Master!$A:$C,3,FALSE())</f>
        <v>30</v>
      </c>
      <c r="L72" s="50">
        <f>_xlfn.XLOOKUP(B72,Vendor_Master!A:A,Vendor_Master!C:C)</f>
        <v>30</v>
      </c>
      <c r="M72" s="50">
        <f>INDEX(Vendor_Master!$C:$C,MATCH(B72,Vendor_Master!$A:$A,0))</f>
        <v>30</v>
      </c>
      <c r="N72" s="50" t="str">
        <f>IF(H72&gt;Assumptions!$B$4,"Large","")</f>
        <v/>
      </c>
      <c r="O72" s="50" t="str">
        <f>INDEX(Vendor_Master!$B:$B,MATCH(B72,Vendor_Master!$A:$A,0))</f>
        <v>Security</v>
      </c>
      <c r="P72" s="50">
        <f t="shared" si="2"/>
        <v>5</v>
      </c>
    </row>
    <row r="73" spans="1:16" x14ac:dyDescent="0.25">
      <c r="A73" s="50" t="s">
        <v>275</v>
      </c>
      <c r="B73" s="50" t="s">
        <v>48</v>
      </c>
      <c r="C73" s="50" t="s">
        <v>99</v>
      </c>
      <c r="D73" s="50" t="s">
        <v>225</v>
      </c>
      <c r="E73" s="50" t="s">
        <v>276</v>
      </c>
      <c r="F73" s="50">
        <v>71383.42</v>
      </c>
      <c r="G73" s="50">
        <v>12849.02</v>
      </c>
      <c r="H73" s="50">
        <v>84232.44</v>
      </c>
      <c r="I73" s="50" t="s">
        <v>10</v>
      </c>
      <c r="J73" s="50"/>
      <c r="K73" s="50">
        <f>VLOOKUP(B73,Vendor_Master!$A:$C,3,FALSE())</f>
        <v>45</v>
      </c>
      <c r="L73" s="50">
        <f>_xlfn.XLOOKUP(B73,Vendor_Master!A:A,Vendor_Master!C:C)</f>
        <v>45</v>
      </c>
      <c r="M73" s="50">
        <f>INDEX(Vendor_Master!$C:$C,MATCH(B73,Vendor_Master!$A:$A,0))</f>
        <v>45</v>
      </c>
      <c r="N73" s="50" t="str">
        <f>IF(H73&gt;Assumptions!$B$4,"Large","")</f>
        <v>Large</v>
      </c>
      <c r="O73" s="50" t="str">
        <f>INDEX(Vendor_Master!$B:$B,MATCH(B73,Vendor_Master!$A:$A,0))</f>
        <v>Insurance</v>
      </c>
      <c r="P73" s="50">
        <f t="shared" si="2"/>
        <v>5</v>
      </c>
    </row>
    <row r="74" spans="1:16" x14ac:dyDescent="0.25">
      <c r="A74" s="50" t="s">
        <v>277</v>
      </c>
      <c r="B74" s="50" t="s">
        <v>56</v>
      </c>
      <c r="C74" s="50" t="s">
        <v>85</v>
      </c>
      <c r="D74" s="50" t="s">
        <v>235</v>
      </c>
      <c r="E74" s="50" t="s">
        <v>278</v>
      </c>
      <c r="F74" s="50">
        <v>41512</v>
      </c>
      <c r="G74" s="50">
        <v>7472.16</v>
      </c>
      <c r="H74" s="50">
        <v>48984.160000000003</v>
      </c>
      <c r="I74" s="50" t="s">
        <v>9</v>
      </c>
      <c r="J74" s="50" t="s">
        <v>279</v>
      </c>
      <c r="K74" s="50">
        <f>VLOOKUP(B74,Vendor_Master!$A:$C,3,FALSE())</f>
        <v>45</v>
      </c>
      <c r="L74" s="50">
        <f>_xlfn.XLOOKUP(B74,Vendor_Master!A:A,Vendor_Master!C:C)</f>
        <v>45</v>
      </c>
      <c r="M74" s="50">
        <f>INDEX(Vendor_Master!$C:$C,MATCH(B74,Vendor_Master!$A:$A,0))</f>
        <v>45</v>
      </c>
      <c r="N74" s="50" t="str">
        <f>IF(H74&gt;Assumptions!$B$4,"Large","")</f>
        <v/>
      </c>
      <c r="O74" s="50" t="str">
        <f>INDEX(Vendor_Master!$B:$B,MATCH(B74,Vendor_Master!$A:$A,0))</f>
        <v>Professional Fees</v>
      </c>
      <c r="P74" s="50">
        <f t="shared" si="2"/>
        <v>5</v>
      </c>
    </row>
    <row r="75" spans="1:16" x14ac:dyDescent="0.25">
      <c r="A75" s="50" t="s">
        <v>280</v>
      </c>
      <c r="B75" s="50" t="s">
        <v>48</v>
      </c>
      <c r="C75" s="50" t="s">
        <v>85</v>
      </c>
      <c r="D75" s="50" t="s">
        <v>281</v>
      </c>
      <c r="E75" s="50" t="s">
        <v>279</v>
      </c>
      <c r="F75" s="50">
        <v>53233.07</v>
      </c>
      <c r="G75" s="50">
        <v>9581.9500000000007</v>
      </c>
      <c r="H75" s="50">
        <v>62815.02</v>
      </c>
      <c r="I75" s="50" t="s">
        <v>9</v>
      </c>
      <c r="J75" s="50" t="s">
        <v>282</v>
      </c>
      <c r="K75" s="50">
        <f>VLOOKUP(B75,Vendor_Master!$A:$C,3,FALSE())</f>
        <v>45</v>
      </c>
      <c r="L75" s="50">
        <f>_xlfn.XLOOKUP(B75,Vendor_Master!A:A,Vendor_Master!C:C)</f>
        <v>45</v>
      </c>
      <c r="M75" s="50">
        <f>INDEX(Vendor_Master!$C:$C,MATCH(B75,Vendor_Master!$A:$A,0))</f>
        <v>45</v>
      </c>
      <c r="N75" s="50" t="str">
        <f>IF(H75&gt;Assumptions!$B$4,"Large","")</f>
        <v/>
      </c>
      <c r="O75" s="50" t="str">
        <f>INDEX(Vendor_Master!$B:$B,MATCH(B75,Vendor_Master!$A:$A,0))</f>
        <v>Insurance</v>
      </c>
      <c r="P75" s="50">
        <f t="shared" si="2"/>
        <v>5</v>
      </c>
    </row>
    <row r="76" spans="1:16" x14ac:dyDescent="0.25">
      <c r="A76" s="50" t="s">
        <v>283</v>
      </c>
      <c r="B76" s="50" t="s">
        <v>63</v>
      </c>
      <c r="C76" s="50" t="s">
        <v>90</v>
      </c>
      <c r="D76" s="50" t="s">
        <v>215</v>
      </c>
      <c r="E76" s="50" t="s">
        <v>284</v>
      </c>
      <c r="F76" s="50">
        <v>62214.52</v>
      </c>
      <c r="G76" s="50">
        <v>11198.61</v>
      </c>
      <c r="H76" s="50">
        <v>73413.13</v>
      </c>
      <c r="I76" s="50" t="s">
        <v>9</v>
      </c>
      <c r="J76" s="50" t="s">
        <v>253</v>
      </c>
      <c r="K76" s="50">
        <f>VLOOKUP(B76,Vendor_Master!$A:$C,3,FALSE())</f>
        <v>30</v>
      </c>
      <c r="L76" s="50">
        <f>_xlfn.XLOOKUP(B76,Vendor_Master!A:A,Vendor_Master!C:C)</f>
        <v>30</v>
      </c>
      <c r="M76" s="50">
        <f>INDEX(Vendor_Master!$C:$C,MATCH(B76,Vendor_Master!$A:$A,0))</f>
        <v>30</v>
      </c>
      <c r="N76" s="50" t="str">
        <f>IF(H76&gt;Assumptions!$B$4,"Large","")</f>
        <v>Large</v>
      </c>
      <c r="O76" s="50" t="str">
        <f>INDEX(Vendor_Master!$B:$B,MATCH(B76,Vendor_Master!$A:$A,0))</f>
        <v>Maintenance</v>
      </c>
      <c r="P76" s="50">
        <f t="shared" si="2"/>
        <v>5</v>
      </c>
    </row>
    <row r="77" spans="1:16" x14ac:dyDescent="0.25">
      <c r="A77" s="50" t="s">
        <v>285</v>
      </c>
      <c r="B77" s="50" t="s">
        <v>40</v>
      </c>
      <c r="C77" s="50" t="s">
        <v>103</v>
      </c>
      <c r="D77" s="50" t="s">
        <v>244</v>
      </c>
      <c r="E77" s="50" t="s">
        <v>270</v>
      </c>
      <c r="F77" s="50">
        <v>43530.18</v>
      </c>
      <c r="G77" s="50">
        <v>7835.43</v>
      </c>
      <c r="H77" s="50">
        <v>51365.61</v>
      </c>
      <c r="I77" s="50" t="s">
        <v>9</v>
      </c>
      <c r="J77" s="50" t="s">
        <v>286</v>
      </c>
      <c r="K77" s="50">
        <f>VLOOKUP(B77,Vendor_Master!$A:$C,3,FALSE())</f>
        <v>15</v>
      </c>
      <c r="L77" s="50">
        <f>_xlfn.XLOOKUP(B77,Vendor_Master!A:A,Vendor_Master!C:C)</f>
        <v>15</v>
      </c>
      <c r="M77" s="50">
        <f>INDEX(Vendor_Master!$C:$C,MATCH(B77,Vendor_Master!$A:$A,0))</f>
        <v>15</v>
      </c>
      <c r="N77" s="50" t="str">
        <f>IF(H77&gt;Assumptions!$B$4,"Large","")</f>
        <v/>
      </c>
      <c r="O77" s="50" t="str">
        <f>INDEX(Vendor_Master!$B:$B,MATCH(B77,Vendor_Master!$A:$A,0))</f>
        <v>Utilities</v>
      </c>
      <c r="P77" s="50">
        <f t="shared" si="2"/>
        <v>6</v>
      </c>
    </row>
    <row r="78" spans="1:16" x14ac:dyDescent="0.25">
      <c r="A78" s="50" t="s">
        <v>287</v>
      </c>
      <c r="B78" s="50" t="s">
        <v>32</v>
      </c>
      <c r="C78" s="50" t="s">
        <v>103</v>
      </c>
      <c r="D78" s="50" t="s">
        <v>269</v>
      </c>
      <c r="E78" s="50" t="s">
        <v>244</v>
      </c>
      <c r="F78" s="50">
        <v>44578.83</v>
      </c>
      <c r="G78" s="50">
        <v>8024.19</v>
      </c>
      <c r="H78" s="50">
        <v>52603.02</v>
      </c>
      <c r="I78" s="50" t="s">
        <v>9</v>
      </c>
      <c r="J78" s="50" t="s">
        <v>267</v>
      </c>
      <c r="K78" s="50">
        <f>VLOOKUP(B78,Vendor_Master!$A:$C,3,FALSE())</f>
        <v>15</v>
      </c>
      <c r="L78" s="50">
        <f>_xlfn.XLOOKUP(B78,Vendor_Master!A:A,Vendor_Master!C:C)</f>
        <v>15</v>
      </c>
      <c r="M78" s="50">
        <f>INDEX(Vendor_Master!$C:$C,MATCH(B78,Vendor_Master!$A:$A,0))</f>
        <v>15</v>
      </c>
      <c r="N78" s="50" t="str">
        <f>IF(H78&gt;Assumptions!$B$4,"Large","")</f>
        <v/>
      </c>
      <c r="O78" s="50" t="str">
        <f>INDEX(Vendor_Master!$B:$B,MATCH(B78,Vendor_Master!$A:$A,0))</f>
        <v>Housekeeping</v>
      </c>
      <c r="P78" s="50">
        <f t="shared" si="2"/>
        <v>5</v>
      </c>
    </row>
    <row r="79" spans="1:16" x14ac:dyDescent="0.25">
      <c r="A79" s="50" t="s">
        <v>288</v>
      </c>
      <c r="B79" s="50" t="s">
        <v>59</v>
      </c>
      <c r="C79" s="50" t="s">
        <v>90</v>
      </c>
      <c r="D79" s="50" t="s">
        <v>289</v>
      </c>
      <c r="E79" s="50" t="s">
        <v>290</v>
      </c>
      <c r="F79" s="50">
        <v>34182.639999999999</v>
      </c>
      <c r="G79" s="50">
        <v>6152.88</v>
      </c>
      <c r="H79" s="50">
        <v>40335.519999999997</v>
      </c>
      <c r="I79" s="50" t="s">
        <v>10</v>
      </c>
      <c r="J79" s="50"/>
      <c r="K79" s="50">
        <f>VLOOKUP(B79,Vendor_Master!$A:$C,3,FALSE())</f>
        <v>30</v>
      </c>
      <c r="L79" s="50">
        <f>_xlfn.XLOOKUP(B79,Vendor_Master!A:A,Vendor_Master!C:C)</f>
        <v>30</v>
      </c>
      <c r="M79" s="50">
        <f>INDEX(Vendor_Master!$C:$C,MATCH(B79,Vendor_Master!$A:$A,0))</f>
        <v>30</v>
      </c>
      <c r="N79" s="50" t="str">
        <f>IF(H79&gt;Assumptions!$B$4,"Large","")</f>
        <v/>
      </c>
      <c r="O79" s="50" t="str">
        <f>INDEX(Vendor_Master!$B:$B,MATCH(B79,Vendor_Master!$A:$A,0))</f>
        <v>Marketing</v>
      </c>
      <c r="P79" s="50">
        <f t="shared" si="2"/>
        <v>6</v>
      </c>
    </row>
    <row r="80" spans="1:16" x14ac:dyDescent="0.25">
      <c r="A80" s="50" t="s">
        <v>291</v>
      </c>
      <c r="B80" s="50" t="s">
        <v>36</v>
      </c>
      <c r="C80" s="50" t="s">
        <v>99</v>
      </c>
      <c r="D80" s="50" t="s">
        <v>247</v>
      </c>
      <c r="E80" s="50" t="s">
        <v>259</v>
      </c>
      <c r="F80" s="50">
        <v>76361.02</v>
      </c>
      <c r="G80" s="50">
        <v>13744.98</v>
      </c>
      <c r="H80" s="50">
        <v>90106</v>
      </c>
      <c r="I80" s="50" t="s">
        <v>10</v>
      </c>
      <c r="J80" s="50"/>
      <c r="K80" s="50">
        <f>VLOOKUP(B80,Vendor_Master!$A:$C,3,FALSE())</f>
        <v>30</v>
      </c>
      <c r="L80" s="50">
        <f>_xlfn.XLOOKUP(B80,Vendor_Master!A:A,Vendor_Master!C:C)</f>
        <v>30</v>
      </c>
      <c r="M80" s="50">
        <f>INDEX(Vendor_Master!$C:$C,MATCH(B80,Vendor_Master!$A:$A,0))</f>
        <v>30</v>
      </c>
      <c r="N80" s="50" t="str">
        <f>IF(H80&gt;Assumptions!$B$4,"Large","")</f>
        <v>Large</v>
      </c>
      <c r="O80" s="50" t="str">
        <f>INDEX(Vendor_Master!$B:$B,MATCH(B80,Vendor_Master!$A:$A,0))</f>
        <v>Landscaping</v>
      </c>
      <c r="P80" s="50">
        <f t="shared" si="2"/>
        <v>6</v>
      </c>
    </row>
    <row r="81" spans="1:16" x14ac:dyDescent="0.25">
      <c r="A81" s="50" t="s">
        <v>292</v>
      </c>
      <c r="B81" s="50" t="s">
        <v>52</v>
      </c>
      <c r="C81" s="50" t="s">
        <v>103</v>
      </c>
      <c r="D81" s="50" t="s">
        <v>244</v>
      </c>
      <c r="E81" s="50" t="s">
        <v>270</v>
      </c>
      <c r="F81" s="50">
        <v>26592.02</v>
      </c>
      <c r="G81" s="50">
        <v>4786.5600000000004</v>
      </c>
      <c r="H81" s="50">
        <v>31378.58</v>
      </c>
      <c r="I81" s="50" t="s">
        <v>11</v>
      </c>
      <c r="J81" s="50"/>
      <c r="K81" s="50">
        <f>VLOOKUP(B81,Vendor_Master!$A:$C,3,FALSE())</f>
        <v>15</v>
      </c>
      <c r="L81" s="50">
        <f>_xlfn.XLOOKUP(B81,Vendor_Master!A:A,Vendor_Master!C:C)</f>
        <v>15</v>
      </c>
      <c r="M81" s="50">
        <f>INDEX(Vendor_Master!$C:$C,MATCH(B81,Vendor_Master!$A:$A,0))</f>
        <v>15</v>
      </c>
      <c r="N81" s="50" t="str">
        <f>IF(H81&gt;Assumptions!$B$4,"Large","")</f>
        <v/>
      </c>
      <c r="O81" s="50" t="str">
        <f>INDEX(Vendor_Master!$B:$B,MATCH(B81,Vendor_Master!$A:$A,0))</f>
        <v>Office Supplies</v>
      </c>
      <c r="P81" s="50">
        <f t="shared" si="2"/>
        <v>6</v>
      </c>
    </row>
    <row r="82" spans="1:16" x14ac:dyDescent="0.25">
      <c r="A82" s="50" t="s">
        <v>293</v>
      </c>
      <c r="B82" s="50" t="s">
        <v>66</v>
      </c>
      <c r="C82" s="50" t="s">
        <v>99</v>
      </c>
      <c r="D82" s="50" t="s">
        <v>294</v>
      </c>
      <c r="E82" s="50" t="s">
        <v>295</v>
      </c>
      <c r="F82" s="50">
        <v>65320.01</v>
      </c>
      <c r="G82" s="50">
        <v>11757.6</v>
      </c>
      <c r="H82" s="50">
        <v>77077.61</v>
      </c>
      <c r="I82" s="50" t="s">
        <v>9</v>
      </c>
      <c r="J82" s="50" t="s">
        <v>296</v>
      </c>
      <c r="K82" s="50">
        <f>VLOOKUP(B82,Vendor_Master!$A:$C,3,FALSE())</f>
        <v>15</v>
      </c>
      <c r="L82" s="50">
        <f>_xlfn.XLOOKUP(B82,Vendor_Master!A:A,Vendor_Master!C:C)</f>
        <v>15</v>
      </c>
      <c r="M82" s="50">
        <f>INDEX(Vendor_Master!$C:$C,MATCH(B82,Vendor_Master!$A:$A,0))</f>
        <v>15</v>
      </c>
      <c r="N82" s="50" t="str">
        <f>IF(H82&gt;Assumptions!$B$4,"Large","")</f>
        <v>Large</v>
      </c>
      <c r="O82" s="50" t="str">
        <f>INDEX(Vendor_Master!$B:$B,MATCH(B82,Vendor_Master!$A:$A,0))</f>
        <v>Utilities</v>
      </c>
      <c r="P82" s="50">
        <f t="shared" si="2"/>
        <v>5</v>
      </c>
    </row>
    <row r="83" spans="1:16" x14ac:dyDescent="0.25">
      <c r="A83" s="50" t="s">
        <v>297</v>
      </c>
      <c r="B83" s="50" t="s">
        <v>59</v>
      </c>
      <c r="C83" s="50" t="s">
        <v>85</v>
      </c>
      <c r="D83" s="50" t="s">
        <v>298</v>
      </c>
      <c r="E83" s="50" t="s">
        <v>19</v>
      </c>
      <c r="F83" s="50">
        <v>16124.69</v>
      </c>
      <c r="G83" s="50">
        <v>2902.44</v>
      </c>
      <c r="H83" s="50">
        <v>19027.13</v>
      </c>
      <c r="I83" s="50" t="s">
        <v>9</v>
      </c>
      <c r="J83" s="50" t="s">
        <v>244</v>
      </c>
      <c r="K83" s="50">
        <f>VLOOKUP(B83,Vendor_Master!$A:$C,3,FALSE())</f>
        <v>30</v>
      </c>
      <c r="L83" s="50">
        <f>_xlfn.XLOOKUP(B83,Vendor_Master!A:A,Vendor_Master!C:C)</f>
        <v>30</v>
      </c>
      <c r="M83" s="50">
        <f>INDEX(Vendor_Master!$C:$C,MATCH(B83,Vendor_Master!$A:$A,0))</f>
        <v>30</v>
      </c>
      <c r="N83" s="50" t="str">
        <f>IF(H83&gt;Assumptions!$B$4,"Large","")</f>
        <v/>
      </c>
      <c r="O83" s="50" t="str">
        <f>INDEX(Vendor_Master!$B:$B,MATCH(B83,Vendor_Master!$A:$A,0))</f>
        <v>Marketing</v>
      </c>
      <c r="P83" s="50">
        <f t="shared" si="2"/>
        <v>5</v>
      </c>
    </row>
    <row r="84" spans="1:16" x14ac:dyDescent="0.25">
      <c r="A84" s="50" t="s">
        <v>299</v>
      </c>
      <c r="B84" s="50" t="s">
        <v>36</v>
      </c>
      <c r="C84" s="50" t="s">
        <v>85</v>
      </c>
      <c r="D84" s="50" t="s">
        <v>264</v>
      </c>
      <c r="E84" s="50" t="s">
        <v>278</v>
      </c>
      <c r="F84" s="50">
        <v>10125.01</v>
      </c>
      <c r="G84" s="50">
        <v>1822.5</v>
      </c>
      <c r="H84" s="50">
        <v>11947.51</v>
      </c>
      <c r="I84" s="50" t="s">
        <v>11</v>
      </c>
      <c r="J84" s="50"/>
      <c r="K84" s="50">
        <f>VLOOKUP(B84,Vendor_Master!$A:$C,3,FALSE())</f>
        <v>30</v>
      </c>
      <c r="L84" s="50">
        <f>_xlfn.XLOOKUP(B84,Vendor_Master!A:A,Vendor_Master!C:C)</f>
        <v>30</v>
      </c>
      <c r="M84" s="50">
        <f>INDEX(Vendor_Master!$C:$C,MATCH(B84,Vendor_Master!$A:$A,0))</f>
        <v>30</v>
      </c>
      <c r="N84" s="50" t="str">
        <f>IF(H84&gt;Assumptions!$B$4,"Large","")</f>
        <v/>
      </c>
      <c r="O84" s="50" t="str">
        <f>INDEX(Vendor_Master!$B:$B,MATCH(B84,Vendor_Master!$A:$A,0))</f>
        <v>Landscaping</v>
      </c>
      <c r="P84" s="50">
        <f t="shared" si="2"/>
        <v>5</v>
      </c>
    </row>
    <row r="85" spans="1:16" x14ac:dyDescent="0.25">
      <c r="A85" s="50" t="s">
        <v>300</v>
      </c>
      <c r="B85" s="50" t="s">
        <v>59</v>
      </c>
      <c r="C85" s="50" t="s">
        <v>103</v>
      </c>
      <c r="D85" s="50" t="s">
        <v>256</v>
      </c>
      <c r="E85" s="50" t="s">
        <v>301</v>
      </c>
      <c r="F85" s="50">
        <v>74858.570000000007</v>
      </c>
      <c r="G85" s="50">
        <v>13474.54</v>
      </c>
      <c r="H85" s="50">
        <v>88333.11</v>
      </c>
      <c r="I85" s="50" t="s">
        <v>10</v>
      </c>
      <c r="J85" s="50"/>
      <c r="K85" s="50">
        <f>VLOOKUP(B85,Vendor_Master!$A:$C,3,FALSE())</f>
        <v>30</v>
      </c>
      <c r="L85" s="50">
        <f>_xlfn.XLOOKUP(B85,Vendor_Master!A:A,Vendor_Master!C:C)</f>
        <v>30</v>
      </c>
      <c r="M85" s="50">
        <f>INDEX(Vendor_Master!$C:$C,MATCH(B85,Vendor_Master!$A:$A,0))</f>
        <v>30</v>
      </c>
      <c r="N85" s="50" t="str">
        <f>IF(H85&gt;Assumptions!$B$4,"Large","")</f>
        <v>Large</v>
      </c>
      <c r="O85" s="50" t="str">
        <f>INDEX(Vendor_Master!$B:$B,MATCH(B85,Vendor_Master!$A:$A,0))</f>
        <v>Marketing</v>
      </c>
      <c r="P85" s="50">
        <f t="shared" si="2"/>
        <v>6</v>
      </c>
    </row>
    <row r="86" spans="1:16" x14ac:dyDescent="0.25">
      <c r="A86" s="50" t="s">
        <v>302</v>
      </c>
      <c r="B86" s="50" t="s">
        <v>63</v>
      </c>
      <c r="C86" s="50" t="s">
        <v>103</v>
      </c>
      <c r="D86" s="50" t="s">
        <v>289</v>
      </c>
      <c r="E86" s="50" t="s">
        <v>290</v>
      </c>
      <c r="F86" s="50">
        <v>24915.87</v>
      </c>
      <c r="G86" s="50">
        <v>4484.8599999999997</v>
      </c>
      <c r="H86" s="50">
        <v>29400.73</v>
      </c>
      <c r="I86" s="50" t="s">
        <v>10</v>
      </c>
      <c r="J86" s="50"/>
      <c r="K86" s="50">
        <f>VLOOKUP(B86,Vendor_Master!$A:$C,3,FALSE())</f>
        <v>30</v>
      </c>
      <c r="L86" s="50">
        <f>_xlfn.XLOOKUP(B86,Vendor_Master!A:A,Vendor_Master!C:C)</f>
        <v>30</v>
      </c>
      <c r="M86" s="50">
        <f>INDEX(Vendor_Master!$C:$C,MATCH(B86,Vendor_Master!$A:$A,0))</f>
        <v>30</v>
      </c>
      <c r="N86" s="50" t="str">
        <f>IF(H86&gt;Assumptions!$B$4,"Large","")</f>
        <v/>
      </c>
      <c r="O86" s="50" t="str">
        <f>INDEX(Vendor_Master!$B:$B,MATCH(B86,Vendor_Master!$A:$A,0))</f>
        <v>Maintenance</v>
      </c>
      <c r="P86" s="50">
        <f t="shared" si="2"/>
        <v>6</v>
      </c>
    </row>
    <row r="87" spans="1:16" x14ac:dyDescent="0.25">
      <c r="A87" s="50" t="s">
        <v>303</v>
      </c>
      <c r="B87" s="50" t="s">
        <v>32</v>
      </c>
      <c r="C87" s="50" t="s">
        <v>90</v>
      </c>
      <c r="D87" s="50" t="s">
        <v>278</v>
      </c>
      <c r="E87" s="50" t="s">
        <v>304</v>
      </c>
      <c r="F87" s="50">
        <v>67823.149999999994</v>
      </c>
      <c r="G87" s="50">
        <v>12208.17</v>
      </c>
      <c r="H87" s="50">
        <v>80031.320000000007</v>
      </c>
      <c r="I87" s="50" t="s">
        <v>9</v>
      </c>
      <c r="J87" s="50" t="s">
        <v>270</v>
      </c>
      <c r="K87" s="50">
        <f>VLOOKUP(B87,Vendor_Master!$A:$C,3,FALSE())</f>
        <v>15</v>
      </c>
      <c r="L87" s="50">
        <f>_xlfn.XLOOKUP(B87,Vendor_Master!A:A,Vendor_Master!C:C)</f>
        <v>15</v>
      </c>
      <c r="M87" s="50">
        <f>INDEX(Vendor_Master!$C:$C,MATCH(B87,Vendor_Master!$A:$A,0))</f>
        <v>15</v>
      </c>
      <c r="N87" s="50" t="str">
        <f>IF(H87&gt;Assumptions!$B$4,"Large","")</f>
        <v>Large</v>
      </c>
      <c r="O87" s="50" t="str">
        <f>INDEX(Vendor_Master!$B:$B,MATCH(B87,Vendor_Master!$A:$A,0))</f>
        <v>Housekeeping</v>
      </c>
      <c r="P87" s="50">
        <f t="shared" si="2"/>
        <v>6</v>
      </c>
    </row>
    <row r="88" spans="1:16" x14ac:dyDescent="0.25">
      <c r="A88" s="50" t="s">
        <v>305</v>
      </c>
      <c r="B88" s="50" t="s">
        <v>32</v>
      </c>
      <c r="C88" s="50" t="s">
        <v>103</v>
      </c>
      <c r="D88" s="50" t="s">
        <v>306</v>
      </c>
      <c r="E88" s="50" t="s">
        <v>307</v>
      </c>
      <c r="F88" s="50">
        <v>91343.05</v>
      </c>
      <c r="G88" s="50">
        <v>16441.75</v>
      </c>
      <c r="H88" s="50">
        <v>107784.8</v>
      </c>
      <c r="I88" s="50" t="s">
        <v>10</v>
      </c>
      <c r="J88" s="50"/>
      <c r="K88" s="50">
        <f>VLOOKUP(B88,Vendor_Master!$A:$C,3,FALSE())</f>
        <v>15</v>
      </c>
      <c r="L88" s="50">
        <f>_xlfn.XLOOKUP(B88,Vendor_Master!A:A,Vendor_Master!C:C)</f>
        <v>15</v>
      </c>
      <c r="M88" s="50">
        <f>INDEX(Vendor_Master!$C:$C,MATCH(B88,Vendor_Master!$A:$A,0))</f>
        <v>15</v>
      </c>
      <c r="N88" s="50" t="str">
        <f>IF(H88&gt;Assumptions!$B$4,"Large","")</f>
        <v>Large</v>
      </c>
      <c r="O88" s="50" t="str">
        <f>INDEX(Vendor_Master!$B:$B,MATCH(B88,Vendor_Master!$A:$A,0))</f>
        <v>Housekeeping</v>
      </c>
      <c r="P88" s="50">
        <f t="shared" si="2"/>
        <v>6</v>
      </c>
    </row>
    <row r="89" spans="1:16" x14ac:dyDescent="0.25">
      <c r="A89" s="50" t="s">
        <v>308</v>
      </c>
      <c r="B89" s="50" t="s">
        <v>36</v>
      </c>
      <c r="C89" s="50" t="s">
        <v>85</v>
      </c>
      <c r="D89" s="50" t="s">
        <v>19</v>
      </c>
      <c r="E89" s="50" t="s">
        <v>309</v>
      </c>
      <c r="F89" s="50">
        <v>18558.2</v>
      </c>
      <c r="G89" s="50">
        <v>3340.48</v>
      </c>
      <c r="H89" s="50">
        <v>21898.68</v>
      </c>
      <c r="I89" s="50" t="s">
        <v>9</v>
      </c>
      <c r="J89" s="50" t="s">
        <v>310</v>
      </c>
      <c r="K89" s="50">
        <f>VLOOKUP(B89,Vendor_Master!$A:$C,3,FALSE())</f>
        <v>30</v>
      </c>
      <c r="L89" s="50">
        <f>_xlfn.XLOOKUP(B89,Vendor_Master!A:A,Vendor_Master!C:C)</f>
        <v>30</v>
      </c>
      <c r="M89" s="50">
        <f>INDEX(Vendor_Master!$C:$C,MATCH(B89,Vendor_Master!$A:$A,0))</f>
        <v>30</v>
      </c>
      <c r="N89" s="50" t="str">
        <f>IF(H89&gt;Assumptions!$B$4,"Large","")</f>
        <v/>
      </c>
      <c r="O89" s="50" t="str">
        <f>INDEX(Vendor_Master!$B:$B,MATCH(B89,Vendor_Master!$A:$A,0))</f>
        <v>Landscaping</v>
      </c>
      <c r="P89" s="50">
        <f t="shared" si="2"/>
        <v>6</v>
      </c>
    </row>
    <row r="90" spans="1:16" x14ac:dyDescent="0.25">
      <c r="A90" s="50" t="s">
        <v>311</v>
      </c>
      <c r="B90" s="50" t="s">
        <v>56</v>
      </c>
      <c r="C90" s="50" t="s">
        <v>103</v>
      </c>
      <c r="D90" s="50" t="s">
        <v>312</v>
      </c>
      <c r="E90" s="50" t="s">
        <v>313</v>
      </c>
      <c r="F90" s="50">
        <v>35604.92</v>
      </c>
      <c r="G90" s="50">
        <v>6408.89</v>
      </c>
      <c r="H90" s="50">
        <v>42013.81</v>
      </c>
      <c r="I90" s="50" t="s">
        <v>9</v>
      </c>
      <c r="J90" s="50" t="s">
        <v>314</v>
      </c>
      <c r="K90" s="50">
        <f>VLOOKUP(B90,Vendor_Master!$A:$C,3,FALSE())</f>
        <v>45</v>
      </c>
      <c r="L90" s="50">
        <f>_xlfn.XLOOKUP(B90,Vendor_Master!A:A,Vendor_Master!C:C)</f>
        <v>45</v>
      </c>
      <c r="M90" s="50">
        <f>INDEX(Vendor_Master!$C:$C,MATCH(B90,Vendor_Master!$A:$A,0))</f>
        <v>45</v>
      </c>
      <c r="N90" s="50" t="str">
        <f>IF(H90&gt;Assumptions!$B$4,"Large","")</f>
        <v/>
      </c>
      <c r="O90" s="50" t="str">
        <f>INDEX(Vendor_Master!$B:$B,MATCH(B90,Vendor_Master!$A:$A,0))</f>
        <v>Professional Fees</v>
      </c>
      <c r="P90" s="50">
        <f t="shared" si="2"/>
        <v>6</v>
      </c>
    </row>
    <row r="91" spans="1:16" x14ac:dyDescent="0.25">
      <c r="A91" s="50" t="s">
        <v>315</v>
      </c>
      <c r="B91" s="50" t="s">
        <v>56</v>
      </c>
      <c r="C91" s="50" t="s">
        <v>103</v>
      </c>
      <c r="D91" s="50" t="s">
        <v>256</v>
      </c>
      <c r="E91" s="50" t="s">
        <v>316</v>
      </c>
      <c r="F91" s="50">
        <v>80259.520000000004</v>
      </c>
      <c r="G91" s="50">
        <v>14446.71</v>
      </c>
      <c r="H91" s="50">
        <v>94706.23</v>
      </c>
      <c r="I91" s="50" t="s">
        <v>9</v>
      </c>
      <c r="J91" s="50" t="s">
        <v>317</v>
      </c>
      <c r="K91" s="50">
        <f>VLOOKUP(B91,Vendor_Master!$A:$C,3,FALSE())</f>
        <v>45</v>
      </c>
      <c r="L91" s="50">
        <f>_xlfn.XLOOKUP(B91,Vendor_Master!A:A,Vendor_Master!C:C)</f>
        <v>45</v>
      </c>
      <c r="M91" s="50">
        <f>INDEX(Vendor_Master!$C:$C,MATCH(B91,Vendor_Master!$A:$A,0))</f>
        <v>45</v>
      </c>
      <c r="N91" s="50" t="str">
        <f>IF(H91&gt;Assumptions!$B$4,"Large","")</f>
        <v>Large</v>
      </c>
      <c r="O91" s="50" t="str">
        <f>INDEX(Vendor_Master!$B:$B,MATCH(B91,Vendor_Master!$A:$A,0))</f>
        <v>Professional Fees</v>
      </c>
      <c r="P91" s="50">
        <f t="shared" si="2"/>
        <v>6</v>
      </c>
    </row>
    <row r="92" spans="1:16" x14ac:dyDescent="0.25">
      <c r="A92" s="50" t="s">
        <v>318</v>
      </c>
      <c r="B92" s="50" t="s">
        <v>52</v>
      </c>
      <c r="C92" s="50" t="s">
        <v>85</v>
      </c>
      <c r="D92" s="50" t="s">
        <v>319</v>
      </c>
      <c r="E92" s="50" t="s">
        <v>259</v>
      </c>
      <c r="F92" s="50">
        <v>30549.66</v>
      </c>
      <c r="G92" s="50">
        <v>5498.94</v>
      </c>
      <c r="H92" s="50">
        <v>36048.6</v>
      </c>
      <c r="I92" s="50" t="s">
        <v>9</v>
      </c>
      <c r="J92" s="50" t="s">
        <v>279</v>
      </c>
      <c r="K92" s="50">
        <f>VLOOKUP(B92,Vendor_Master!$A:$C,3,FALSE())</f>
        <v>15</v>
      </c>
      <c r="L92" s="50">
        <f>_xlfn.XLOOKUP(B92,Vendor_Master!A:A,Vendor_Master!C:C)</f>
        <v>15</v>
      </c>
      <c r="M92" s="50">
        <f>INDEX(Vendor_Master!$C:$C,MATCH(B92,Vendor_Master!$A:$A,0))</f>
        <v>15</v>
      </c>
      <c r="N92" s="50" t="str">
        <f>IF(H92&gt;Assumptions!$B$4,"Large","")</f>
        <v/>
      </c>
      <c r="O92" s="50" t="str">
        <f>INDEX(Vendor_Master!$B:$B,MATCH(B92,Vendor_Master!$A:$A,0))</f>
        <v>Office Supplies</v>
      </c>
      <c r="P92" s="50">
        <f t="shared" si="2"/>
        <v>6</v>
      </c>
    </row>
    <row r="93" spans="1:16" x14ac:dyDescent="0.25">
      <c r="A93" s="50" t="s">
        <v>320</v>
      </c>
      <c r="B93" s="50" t="s">
        <v>56</v>
      </c>
      <c r="C93" s="50" t="s">
        <v>99</v>
      </c>
      <c r="D93" s="50" t="s">
        <v>274</v>
      </c>
      <c r="E93" s="50" t="s">
        <v>314</v>
      </c>
      <c r="F93" s="50">
        <v>62527.11</v>
      </c>
      <c r="G93" s="50">
        <v>11254.88</v>
      </c>
      <c r="H93" s="50">
        <v>73781.990000000005</v>
      </c>
      <c r="I93" s="50" t="s">
        <v>10</v>
      </c>
      <c r="J93" s="50"/>
      <c r="K93" s="50">
        <f>VLOOKUP(B93,Vendor_Master!$A:$C,3,FALSE())</f>
        <v>45</v>
      </c>
      <c r="L93" s="50">
        <f>_xlfn.XLOOKUP(B93,Vendor_Master!A:A,Vendor_Master!C:C)</f>
        <v>45</v>
      </c>
      <c r="M93" s="50">
        <f>INDEX(Vendor_Master!$C:$C,MATCH(B93,Vendor_Master!$A:$A,0))</f>
        <v>45</v>
      </c>
      <c r="N93" s="50" t="str">
        <f>IF(H93&gt;Assumptions!$B$4,"Large","")</f>
        <v>Large</v>
      </c>
      <c r="O93" s="50" t="str">
        <f>INDEX(Vendor_Master!$B:$B,MATCH(B93,Vendor_Master!$A:$A,0))</f>
        <v>Professional Fees</v>
      </c>
      <c r="P93" s="50">
        <f t="shared" si="2"/>
        <v>6</v>
      </c>
    </row>
    <row r="94" spans="1:16" x14ac:dyDescent="0.25">
      <c r="A94" s="50" t="s">
        <v>321</v>
      </c>
      <c r="B94" s="50" t="s">
        <v>40</v>
      </c>
      <c r="C94" s="50" t="s">
        <v>99</v>
      </c>
      <c r="D94" s="50" t="s">
        <v>286</v>
      </c>
      <c r="E94" s="50" t="s">
        <v>322</v>
      </c>
      <c r="F94" s="50">
        <v>31639.21</v>
      </c>
      <c r="G94" s="50">
        <v>5695.06</v>
      </c>
      <c r="H94" s="50">
        <v>37334.269999999997</v>
      </c>
      <c r="I94" s="50" t="s">
        <v>9</v>
      </c>
      <c r="J94" s="50" t="s">
        <v>270</v>
      </c>
      <c r="K94" s="50">
        <f>VLOOKUP(B94,Vendor_Master!$A:$C,3,FALSE())</f>
        <v>15</v>
      </c>
      <c r="L94" s="50">
        <f>_xlfn.XLOOKUP(B94,Vendor_Master!A:A,Vendor_Master!C:C)</f>
        <v>15</v>
      </c>
      <c r="M94" s="50">
        <f>INDEX(Vendor_Master!$C:$C,MATCH(B94,Vendor_Master!$A:$A,0))</f>
        <v>15</v>
      </c>
      <c r="N94" s="50" t="str">
        <f>IF(H94&gt;Assumptions!$B$4,"Large","")</f>
        <v/>
      </c>
      <c r="O94" s="50" t="str">
        <f>INDEX(Vendor_Master!$B:$B,MATCH(B94,Vendor_Master!$A:$A,0))</f>
        <v>Utilities</v>
      </c>
      <c r="P94" s="50">
        <f t="shared" si="2"/>
        <v>6</v>
      </c>
    </row>
    <row r="95" spans="1:16" x14ac:dyDescent="0.25">
      <c r="A95" s="50" t="s">
        <v>323</v>
      </c>
      <c r="B95" s="50" t="s">
        <v>32</v>
      </c>
      <c r="C95" s="50" t="s">
        <v>85</v>
      </c>
      <c r="D95" s="50" t="s">
        <v>324</v>
      </c>
      <c r="E95" s="50" t="s">
        <v>325</v>
      </c>
      <c r="F95" s="50">
        <v>28119.75</v>
      </c>
      <c r="G95" s="50">
        <v>5061.55</v>
      </c>
      <c r="H95" s="50">
        <v>33181.300000000003</v>
      </c>
      <c r="I95" s="50" t="s">
        <v>9</v>
      </c>
      <c r="J95" s="50" t="s">
        <v>312</v>
      </c>
      <c r="K95" s="50">
        <f>VLOOKUP(B95,Vendor_Master!$A:$C,3,FALSE())</f>
        <v>15</v>
      </c>
      <c r="L95" s="50">
        <f>_xlfn.XLOOKUP(B95,Vendor_Master!A:A,Vendor_Master!C:C)</f>
        <v>15</v>
      </c>
      <c r="M95" s="50">
        <f>INDEX(Vendor_Master!$C:$C,MATCH(B95,Vendor_Master!$A:$A,0))</f>
        <v>15</v>
      </c>
      <c r="N95" s="50" t="str">
        <f>IF(H95&gt;Assumptions!$B$4,"Large","")</f>
        <v/>
      </c>
      <c r="O95" s="50" t="str">
        <f>INDEX(Vendor_Master!$B:$B,MATCH(B95,Vendor_Master!$A:$A,0))</f>
        <v>Housekeeping</v>
      </c>
      <c r="P95" s="50">
        <f t="shared" si="2"/>
        <v>6</v>
      </c>
    </row>
    <row r="96" spans="1:16" x14ac:dyDescent="0.25">
      <c r="A96" s="50" t="s">
        <v>326</v>
      </c>
      <c r="B96" s="50" t="s">
        <v>48</v>
      </c>
      <c r="C96" s="50" t="s">
        <v>103</v>
      </c>
      <c r="D96" s="50" t="s">
        <v>19</v>
      </c>
      <c r="E96" s="50" t="s">
        <v>327</v>
      </c>
      <c r="F96" s="50">
        <v>36786.68</v>
      </c>
      <c r="G96" s="50">
        <v>6621.6</v>
      </c>
      <c r="H96" s="50">
        <v>43408.28</v>
      </c>
      <c r="I96" s="50" t="s">
        <v>10</v>
      </c>
      <c r="J96" s="50"/>
      <c r="K96" s="50">
        <f>VLOOKUP(B96,Vendor_Master!$A:$C,3,FALSE())</f>
        <v>45</v>
      </c>
      <c r="L96" s="50">
        <f>_xlfn.XLOOKUP(B96,Vendor_Master!A:A,Vendor_Master!C:C)</f>
        <v>45</v>
      </c>
      <c r="M96" s="50">
        <f>INDEX(Vendor_Master!$C:$C,MATCH(B96,Vendor_Master!$A:$A,0))</f>
        <v>45</v>
      </c>
      <c r="N96" s="50" t="str">
        <f>IF(H96&gt;Assumptions!$B$4,"Large","")</f>
        <v/>
      </c>
      <c r="O96" s="50" t="str">
        <f>INDEX(Vendor_Master!$B:$B,MATCH(B96,Vendor_Master!$A:$A,0))</f>
        <v>Insurance</v>
      </c>
      <c r="P96" s="50">
        <f t="shared" si="2"/>
        <v>6</v>
      </c>
    </row>
    <row r="97" spans="1:16" x14ac:dyDescent="0.25">
      <c r="A97" s="50" t="s">
        <v>328</v>
      </c>
      <c r="B97" s="50" t="s">
        <v>36</v>
      </c>
      <c r="C97" s="50" t="s">
        <v>90</v>
      </c>
      <c r="D97" s="50" t="s">
        <v>19</v>
      </c>
      <c r="E97" s="50" t="s">
        <v>309</v>
      </c>
      <c r="F97" s="50">
        <v>44552.49</v>
      </c>
      <c r="G97" s="50">
        <v>8019.45</v>
      </c>
      <c r="H97" s="50">
        <v>52571.94</v>
      </c>
      <c r="I97" s="50" t="s">
        <v>9</v>
      </c>
      <c r="J97" s="50" t="s">
        <v>329</v>
      </c>
      <c r="K97" s="50">
        <f>VLOOKUP(B97,Vendor_Master!$A:$C,3,FALSE())</f>
        <v>30</v>
      </c>
      <c r="L97" s="50">
        <f>_xlfn.XLOOKUP(B97,Vendor_Master!A:A,Vendor_Master!C:C)</f>
        <v>30</v>
      </c>
      <c r="M97" s="50">
        <f>INDEX(Vendor_Master!$C:$C,MATCH(B97,Vendor_Master!$A:$A,0))</f>
        <v>30</v>
      </c>
      <c r="N97" s="50" t="str">
        <f>IF(H97&gt;Assumptions!$B$4,"Large","")</f>
        <v/>
      </c>
      <c r="O97" s="50" t="str">
        <f>INDEX(Vendor_Master!$B:$B,MATCH(B97,Vendor_Master!$A:$A,0))</f>
        <v>Landscaping</v>
      </c>
      <c r="P97" s="50">
        <f t="shared" si="2"/>
        <v>6</v>
      </c>
    </row>
    <row r="98" spans="1:16" x14ac:dyDescent="0.25">
      <c r="A98" s="50" t="s">
        <v>330</v>
      </c>
      <c r="B98" s="50" t="s">
        <v>52</v>
      </c>
      <c r="C98" s="50" t="s">
        <v>99</v>
      </c>
      <c r="D98" s="50" t="s">
        <v>319</v>
      </c>
      <c r="E98" s="50" t="s">
        <v>259</v>
      </c>
      <c r="F98" s="50">
        <v>90018.52</v>
      </c>
      <c r="G98" s="50">
        <v>16203.33</v>
      </c>
      <c r="H98" s="50">
        <v>106221.85</v>
      </c>
      <c r="I98" s="50" t="s">
        <v>9</v>
      </c>
      <c r="J98" s="50" t="s">
        <v>270</v>
      </c>
      <c r="K98" s="50">
        <f>VLOOKUP(B98,Vendor_Master!$A:$C,3,FALSE())</f>
        <v>15</v>
      </c>
      <c r="L98" s="50">
        <f>_xlfn.XLOOKUP(B98,Vendor_Master!A:A,Vendor_Master!C:C)</f>
        <v>15</v>
      </c>
      <c r="M98" s="50">
        <f>INDEX(Vendor_Master!$C:$C,MATCH(B98,Vendor_Master!$A:$A,0))</f>
        <v>15</v>
      </c>
      <c r="N98" s="50" t="str">
        <f>IF(H98&gt;Assumptions!$B$4,"Large","")</f>
        <v>Large</v>
      </c>
      <c r="O98" s="50" t="str">
        <f>INDEX(Vendor_Master!$B:$B,MATCH(B98,Vendor_Master!$A:$A,0))</f>
        <v>Office Supplies</v>
      </c>
      <c r="P98" s="50">
        <f t="shared" ref="P98:P104" si="3">MONTH(D98)</f>
        <v>6</v>
      </c>
    </row>
    <row r="99" spans="1:16" x14ac:dyDescent="0.25">
      <c r="A99" s="50" t="s">
        <v>331</v>
      </c>
      <c r="B99" s="50" t="s">
        <v>56</v>
      </c>
      <c r="C99" s="50" t="s">
        <v>85</v>
      </c>
      <c r="D99" s="50" t="s">
        <v>19</v>
      </c>
      <c r="E99" s="50" t="s">
        <v>327</v>
      </c>
      <c r="F99" s="50">
        <v>71913.16</v>
      </c>
      <c r="G99" s="50">
        <v>12944.37</v>
      </c>
      <c r="H99" s="50">
        <v>84857.53</v>
      </c>
      <c r="I99" s="50" t="s">
        <v>10</v>
      </c>
      <c r="J99" s="50"/>
      <c r="K99" s="50">
        <f>VLOOKUP(B99,Vendor_Master!$A:$C,3,FALSE())</f>
        <v>45</v>
      </c>
      <c r="L99" s="50">
        <f>_xlfn.XLOOKUP(B99,Vendor_Master!A:A,Vendor_Master!C:C)</f>
        <v>45</v>
      </c>
      <c r="M99" s="50">
        <f>INDEX(Vendor_Master!$C:$C,MATCH(B99,Vendor_Master!$A:$A,0))</f>
        <v>45</v>
      </c>
      <c r="N99" s="50" t="str">
        <f>IF(H99&gt;Assumptions!$B$4,"Large","")</f>
        <v>Large</v>
      </c>
      <c r="O99" s="50" t="str">
        <f>INDEX(Vendor_Master!$B:$B,MATCH(B99,Vendor_Master!$A:$A,0))</f>
        <v>Professional Fees</v>
      </c>
      <c r="P99" s="50">
        <f t="shared" si="3"/>
        <v>6</v>
      </c>
    </row>
    <row r="100" spans="1:16" x14ac:dyDescent="0.25">
      <c r="A100" s="50" t="s">
        <v>332</v>
      </c>
      <c r="B100" s="50" t="s">
        <v>40</v>
      </c>
      <c r="C100" s="50" t="s">
        <v>103</v>
      </c>
      <c r="D100" s="50" t="s">
        <v>19</v>
      </c>
      <c r="E100" s="50" t="s">
        <v>333</v>
      </c>
      <c r="F100" s="50">
        <v>50250.85</v>
      </c>
      <c r="G100" s="50">
        <v>9045.15</v>
      </c>
      <c r="H100" s="50">
        <v>59296</v>
      </c>
      <c r="I100" s="50" t="s">
        <v>10</v>
      </c>
      <c r="J100" s="50"/>
      <c r="K100" s="50">
        <f>VLOOKUP(B100,Vendor_Master!$A:$C,3,FALSE())</f>
        <v>15</v>
      </c>
      <c r="L100" s="50">
        <f>_xlfn.XLOOKUP(B100,Vendor_Master!A:A,Vendor_Master!C:C)</f>
        <v>15</v>
      </c>
      <c r="M100" s="50">
        <f>INDEX(Vendor_Master!$C:$C,MATCH(B100,Vendor_Master!$A:$A,0))</f>
        <v>15</v>
      </c>
      <c r="N100" s="50" t="str">
        <f>IF(H100&gt;Assumptions!$B$4,"Large","")</f>
        <v/>
      </c>
      <c r="O100" s="50" t="str">
        <f>INDEX(Vendor_Master!$B:$B,MATCH(B100,Vendor_Master!$A:$A,0))</f>
        <v>Utilities</v>
      </c>
      <c r="P100" s="50">
        <f t="shared" si="3"/>
        <v>6</v>
      </c>
    </row>
    <row r="101" spans="1:16" x14ac:dyDescent="0.25">
      <c r="A101" s="50" t="s">
        <v>334</v>
      </c>
      <c r="B101" s="50" t="s">
        <v>63</v>
      </c>
      <c r="C101" s="50" t="s">
        <v>85</v>
      </c>
      <c r="D101" s="50" t="s">
        <v>19</v>
      </c>
      <c r="E101" s="50" t="s">
        <v>309</v>
      </c>
      <c r="F101" s="50">
        <v>43175.55</v>
      </c>
      <c r="G101" s="50">
        <v>7771.6</v>
      </c>
      <c r="H101" s="50">
        <v>50947.15</v>
      </c>
      <c r="I101" s="50" t="s">
        <v>9</v>
      </c>
      <c r="J101" s="50" t="s">
        <v>259</v>
      </c>
      <c r="K101" s="50">
        <f>VLOOKUP(B101,Vendor_Master!$A:$C,3,FALSE())</f>
        <v>30</v>
      </c>
      <c r="L101" s="50">
        <f>_xlfn.XLOOKUP(B101,Vendor_Master!A:A,Vendor_Master!C:C)</f>
        <v>30</v>
      </c>
      <c r="M101" s="50">
        <f>INDEX(Vendor_Master!$C:$C,MATCH(B101,Vendor_Master!$A:$A,0))</f>
        <v>30</v>
      </c>
      <c r="N101" s="50" t="str">
        <f>IF(H101&gt;Assumptions!$B$4,"Large","")</f>
        <v/>
      </c>
      <c r="O101" s="50" t="str">
        <f>INDEX(Vendor_Master!$B:$B,MATCH(B101,Vendor_Master!$A:$A,0))</f>
        <v>Maintenance</v>
      </c>
      <c r="P101" s="50">
        <f t="shared" si="3"/>
        <v>6</v>
      </c>
    </row>
    <row r="102" spans="1:16" x14ac:dyDescent="0.25">
      <c r="A102" s="50" t="s">
        <v>335</v>
      </c>
      <c r="B102" s="50" t="s">
        <v>59</v>
      </c>
      <c r="C102" s="50" t="s">
        <v>103</v>
      </c>
      <c r="D102" s="50" t="s">
        <v>19</v>
      </c>
      <c r="E102" s="50" t="s">
        <v>309</v>
      </c>
      <c r="F102" s="50">
        <v>10346.08</v>
      </c>
      <c r="G102" s="50">
        <v>1862.29</v>
      </c>
      <c r="H102" s="50">
        <v>12208.37</v>
      </c>
      <c r="I102" s="50" t="s">
        <v>9</v>
      </c>
      <c r="J102" s="50" t="s">
        <v>266</v>
      </c>
      <c r="K102" s="50">
        <f>VLOOKUP(B102,Vendor_Master!$A:$C,3,FALSE())</f>
        <v>30</v>
      </c>
      <c r="L102" s="50">
        <f>_xlfn.XLOOKUP(B102,Vendor_Master!A:A,Vendor_Master!C:C)</f>
        <v>30</v>
      </c>
      <c r="M102" s="50">
        <f>INDEX(Vendor_Master!$C:$C,MATCH(B102,Vendor_Master!$A:$A,0))</f>
        <v>30</v>
      </c>
      <c r="N102" s="50" t="str">
        <f>IF(H102&gt;Assumptions!$B$4,"Large","")</f>
        <v/>
      </c>
      <c r="O102" s="50" t="str">
        <f>INDEX(Vendor_Master!$B:$B,MATCH(B102,Vendor_Master!$A:$A,0))</f>
        <v>Marketing</v>
      </c>
      <c r="P102" s="50">
        <f t="shared" si="3"/>
        <v>6</v>
      </c>
    </row>
    <row r="103" spans="1:16" x14ac:dyDescent="0.25">
      <c r="A103" s="50" t="s">
        <v>336</v>
      </c>
      <c r="B103" s="50" t="s">
        <v>28</v>
      </c>
      <c r="C103" s="50" t="s">
        <v>103</v>
      </c>
      <c r="D103" s="50" t="s">
        <v>19</v>
      </c>
      <c r="E103" s="50" t="s">
        <v>309</v>
      </c>
      <c r="F103" s="50">
        <v>45289.31</v>
      </c>
      <c r="G103" s="50">
        <v>8152.08</v>
      </c>
      <c r="H103" s="50">
        <v>53441.39</v>
      </c>
      <c r="I103" s="50" t="s">
        <v>10</v>
      </c>
      <c r="J103" s="50"/>
      <c r="K103" s="50">
        <f>VLOOKUP(B103,Vendor_Master!$A:$C,3,FALSE())</f>
        <v>30</v>
      </c>
      <c r="L103" s="50">
        <f>_xlfn.XLOOKUP(B103,Vendor_Master!A:A,Vendor_Master!C:C)</f>
        <v>30</v>
      </c>
      <c r="M103" s="50">
        <f>INDEX(Vendor_Master!$C:$C,MATCH(B103,Vendor_Master!$A:$A,0))</f>
        <v>30</v>
      </c>
      <c r="N103" s="50" t="str">
        <f>IF(H103&gt;Assumptions!$B$4,"Large","")</f>
        <v/>
      </c>
      <c r="O103" s="50" t="str">
        <f>INDEX(Vendor_Master!$B:$B,MATCH(B103,Vendor_Master!$A:$A,0))</f>
        <v>Security</v>
      </c>
      <c r="P103" s="50">
        <f t="shared" si="3"/>
        <v>6</v>
      </c>
    </row>
    <row r="104" spans="1:16" x14ac:dyDescent="0.25">
      <c r="A104" s="50" t="s">
        <v>337</v>
      </c>
      <c r="B104" s="50" t="s">
        <v>40</v>
      </c>
      <c r="C104" s="50" t="s">
        <v>103</v>
      </c>
      <c r="D104" s="50" t="s">
        <v>19</v>
      </c>
      <c r="E104" s="50" t="s">
        <v>333</v>
      </c>
      <c r="F104" s="50">
        <v>36479.68</v>
      </c>
      <c r="G104" s="50">
        <v>6566.34</v>
      </c>
      <c r="H104" s="50">
        <v>43046.02</v>
      </c>
      <c r="I104" s="50" t="s">
        <v>10</v>
      </c>
      <c r="J104" s="50"/>
      <c r="K104" s="50">
        <f>VLOOKUP(B104,Vendor_Master!$A:$C,3,FALSE())</f>
        <v>15</v>
      </c>
      <c r="L104" s="50">
        <f>_xlfn.XLOOKUP(B104,Vendor_Master!A:A,Vendor_Master!C:C)</f>
        <v>15</v>
      </c>
      <c r="M104" s="50">
        <f>INDEX(Vendor_Master!$C:$C,MATCH(B104,Vendor_Master!$A:$A,0))</f>
        <v>15</v>
      </c>
      <c r="N104" s="50" t="str">
        <f>IF(H104&gt;Assumptions!$B$4,"Large","")</f>
        <v/>
      </c>
      <c r="O104" s="50" t="str">
        <f>INDEX(Vendor_Master!$B:$B,MATCH(B104,Vendor_Master!$A:$A,0))</f>
        <v>Utilities</v>
      </c>
      <c r="P104" s="50">
        <f t="shared" si="3"/>
        <v>6</v>
      </c>
    </row>
  </sheetData>
  <conditionalFormatting sqref="I2:I104">
    <cfRule type="cellIs" dxfId="3" priority="2" operator="equal">
      <formula>"Overdue"</formula>
    </cfRule>
    <cfRule type="cellIs" dxfId="2" priority="3" operator="equal">
      <formula>"Pending"</formula>
    </cfRule>
    <cfRule type="cellIs" dxfId="1" priority="4" operator="equal">
      <formula>"Paid"</formula>
    </cfRule>
  </conditionalFormatting>
  <conditionalFormatting sqref="N2:N104">
    <cfRule type="cellIs" dxfId="0" priority="5" operator="equal">
      <formula>"Large"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3:E15"/>
  <sheetViews>
    <sheetView topLeftCell="A4" zoomScaleNormal="100" workbookViewId="0">
      <selection activeCell="E19" sqref="E19"/>
    </sheetView>
  </sheetViews>
  <sheetFormatPr defaultColWidth="8.7109375" defaultRowHeight="15" x14ac:dyDescent="0.25"/>
  <cols>
    <col min="1" max="1" width="20.42578125" customWidth="1"/>
    <col min="2" max="2" width="16.28515625" customWidth="1"/>
    <col min="3" max="3" width="11" customWidth="1"/>
    <col min="4" max="4" width="10" customWidth="1"/>
    <col min="5" max="5" width="11.28515625" customWidth="1"/>
  </cols>
  <sheetData>
    <row r="3" spans="1:5" x14ac:dyDescent="0.25">
      <c r="A3" s="20" t="s">
        <v>338</v>
      </c>
      <c r="B3" s="21" t="s">
        <v>76</v>
      </c>
      <c r="C3" s="22"/>
      <c r="D3" s="22"/>
      <c r="E3" s="23"/>
    </row>
    <row r="4" spans="1:5" x14ac:dyDescent="0.25">
      <c r="A4" s="24" t="s">
        <v>82</v>
      </c>
      <c r="B4" s="25" t="s">
        <v>11</v>
      </c>
      <c r="C4" s="26" t="s">
        <v>9</v>
      </c>
      <c r="D4" s="26" t="s">
        <v>10</v>
      </c>
      <c r="E4" s="27" t="s">
        <v>339</v>
      </c>
    </row>
    <row r="5" spans="1:5" x14ac:dyDescent="0.25">
      <c r="A5" s="28" t="s">
        <v>33</v>
      </c>
      <c r="B5" s="29">
        <v>176514.52</v>
      </c>
      <c r="C5" s="30">
        <v>383814.6</v>
      </c>
      <c r="D5" s="31">
        <v>107784.8</v>
      </c>
      <c r="E5" s="32">
        <v>668113.92000000004</v>
      </c>
    </row>
    <row r="6" spans="1:5" x14ac:dyDescent="0.25">
      <c r="A6" s="33" t="s">
        <v>49</v>
      </c>
      <c r="B6" s="34">
        <v>69289.95</v>
      </c>
      <c r="C6" s="35">
        <v>192487.37</v>
      </c>
      <c r="D6" s="36">
        <v>127640.72</v>
      </c>
      <c r="E6" s="37">
        <v>389418.04</v>
      </c>
    </row>
    <row r="7" spans="1:5" x14ac:dyDescent="0.25">
      <c r="A7" s="33" t="s">
        <v>37</v>
      </c>
      <c r="B7" s="34">
        <v>11947.51</v>
      </c>
      <c r="C7" s="35">
        <v>458479.15</v>
      </c>
      <c r="D7" s="36">
        <v>90106</v>
      </c>
      <c r="E7" s="37">
        <v>560532.66</v>
      </c>
    </row>
    <row r="8" spans="1:5" x14ac:dyDescent="0.25">
      <c r="A8" s="33" t="s">
        <v>25</v>
      </c>
      <c r="B8" s="34">
        <v>202823.67999999999</v>
      </c>
      <c r="C8" s="35">
        <v>927746</v>
      </c>
      <c r="D8" s="36">
        <v>29400.73</v>
      </c>
      <c r="E8" s="37">
        <v>1159970.4099999999</v>
      </c>
    </row>
    <row r="9" spans="1:5" x14ac:dyDescent="0.25">
      <c r="A9" s="33" t="s">
        <v>60</v>
      </c>
      <c r="B9" s="34">
        <v>18233.18</v>
      </c>
      <c r="C9" s="35">
        <v>119719.48</v>
      </c>
      <c r="D9" s="36">
        <v>128668.63</v>
      </c>
      <c r="E9" s="37">
        <v>266621.28999999998</v>
      </c>
    </row>
    <row r="10" spans="1:5" x14ac:dyDescent="0.25">
      <c r="A10" s="33" t="s">
        <v>53</v>
      </c>
      <c r="B10" s="34">
        <v>31378.58</v>
      </c>
      <c r="C10" s="35">
        <v>226557.38</v>
      </c>
      <c r="D10" s="36"/>
      <c r="E10" s="37">
        <v>257935.96</v>
      </c>
    </row>
    <row r="11" spans="1:5" x14ac:dyDescent="0.25">
      <c r="A11" s="33" t="s">
        <v>57</v>
      </c>
      <c r="B11" s="34">
        <v>111661.83</v>
      </c>
      <c r="C11" s="35">
        <v>652777.28</v>
      </c>
      <c r="D11" s="36">
        <v>158639.51999999999</v>
      </c>
      <c r="E11" s="37">
        <v>923078.63</v>
      </c>
    </row>
    <row r="12" spans="1:5" x14ac:dyDescent="0.25">
      <c r="A12" s="33" t="s">
        <v>45</v>
      </c>
      <c r="B12" s="34">
        <v>61735.58</v>
      </c>
      <c r="C12" s="35">
        <v>504788.32</v>
      </c>
      <c r="D12" s="36"/>
      <c r="E12" s="37">
        <v>566523.9</v>
      </c>
    </row>
    <row r="13" spans="1:5" x14ac:dyDescent="0.25">
      <c r="A13" s="33" t="s">
        <v>29</v>
      </c>
      <c r="B13" s="34">
        <v>93918.83</v>
      </c>
      <c r="C13" s="35">
        <v>390893.44</v>
      </c>
      <c r="D13" s="36">
        <v>53441.39</v>
      </c>
      <c r="E13" s="37">
        <v>538253.66</v>
      </c>
    </row>
    <row r="14" spans="1:5" x14ac:dyDescent="0.25">
      <c r="A14" s="33" t="s">
        <v>41</v>
      </c>
      <c r="B14" s="38">
        <v>31985.69</v>
      </c>
      <c r="C14" s="39">
        <v>488193.49</v>
      </c>
      <c r="D14" s="40">
        <v>102342.02</v>
      </c>
      <c r="E14" s="41">
        <v>622521.19999999995</v>
      </c>
    </row>
    <row r="15" spans="1:5" x14ac:dyDescent="0.25">
      <c r="A15" s="42" t="s">
        <v>339</v>
      </c>
      <c r="B15" s="43">
        <v>809489.35</v>
      </c>
      <c r="C15" s="44">
        <v>4345456.51</v>
      </c>
      <c r="D15" s="45">
        <v>798023.81</v>
      </c>
      <c r="E15" s="46">
        <v>5952969.6699999999</v>
      </c>
    </row>
  </sheetData>
  <pageMargins left="0.7" right="0.7" top="0.75" bottom="0.75" header="0.511811023622047" footer="0.511811023622047"/>
  <pageSetup paperSize="9" orientation="portrait" horizontalDpi="300" verticalDpi="30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72"/>
  <sheetViews>
    <sheetView zoomScaleNormal="100" workbookViewId="0">
      <selection activeCell="G62" sqref="G62"/>
    </sheetView>
  </sheetViews>
  <sheetFormatPr defaultColWidth="8.7109375" defaultRowHeight="15" x14ac:dyDescent="0.25"/>
  <cols>
    <col min="1" max="1" width="79.7109375" bestFit="1" customWidth="1"/>
    <col min="2" max="7" width="14" customWidth="1"/>
  </cols>
  <sheetData>
    <row r="1" spans="1:7" x14ac:dyDescent="0.25">
      <c r="A1" s="51" t="s">
        <v>340</v>
      </c>
      <c r="B1" s="52"/>
      <c r="C1" s="52"/>
      <c r="D1" s="52"/>
      <c r="E1" s="52"/>
      <c r="F1" s="52"/>
      <c r="G1" s="52"/>
    </row>
    <row r="2" spans="1:7" x14ac:dyDescent="0.25">
      <c r="A2" s="19" t="s">
        <v>8</v>
      </c>
      <c r="B2" s="19" t="s">
        <v>341</v>
      </c>
      <c r="C2" s="19" t="s">
        <v>342</v>
      </c>
      <c r="D2" s="19" t="s">
        <v>343</v>
      </c>
      <c r="E2" s="19" t="s">
        <v>344</v>
      </c>
      <c r="F2" s="19" t="s">
        <v>345</v>
      </c>
      <c r="G2" s="19" t="s">
        <v>346</v>
      </c>
    </row>
    <row r="3" spans="1:7" x14ac:dyDescent="0.25">
      <c r="A3" s="47" t="s">
        <v>33</v>
      </c>
      <c r="B3" s="47">
        <f>SUMIFS(Raw_Data!$H$2:$H$104,Raw_Data!$O$2:$O$104,$A3,Raw_Data!$P$2:$P$104,1)</f>
        <v>0</v>
      </c>
      <c r="C3" s="47">
        <f>SUMIFS(Raw_Data!$H$2:$H$104,Raw_Data!$O$2:$O$104,$A3,Raw_Data!$P$2:$P$104,2)</f>
        <v>176514.52</v>
      </c>
      <c r="D3" s="47">
        <f>SUMIFS(Raw_Data!$H$2:$H$104,Raw_Data!$O$2:$O$104,$A3,Raw_Data!$P$2:$P$104,3)</f>
        <v>70526.3</v>
      </c>
      <c r="E3" s="47">
        <f>SUMIFS(Raw_Data!$H$2:$H$104,Raw_Data!$O$2:$O$104,$A3,Raw_Data!$P$2:$P$104,4)</f>
        <v>0</v>
      </c>
      <c r="F3" s="47">
        <f>SUMIFS(Raw_Data!$H$2:$H$104,Raw_Data!$O$2:$O$104,$A3,Raw_Data!$P$2:$P$104,5)</f>
        <v>200075.68</v>
      </c>
      <c r="G3" s="47">
        <f>SUMIFS(Raw_Data!$H$2:$H$104,Raw_Data!$O$2:$O$104,$A3,Raw_Data!$P$2:$P$104,6)</f>
        <v>220997.41999999998</v>
      </c>
    </row>
    <row r="4" spans="1:7" x14ac:dyDescent="0.25">
      <c r="A4" s="47" t="s">
        <v>49</v>
      </c>
      <c r="B4" s="47">
        <f>SUMIFS(Raw_Data!$H$2:$H$104,Raw_Data!$O$2:$O$104,$A4,Raw_Data!$P$2:$P$104,1)</f>
        <v>55555.8</v>
      </c>
      <c r="C4" s="47">
        <f>SUMIFS(Raw_Data!$H$2:$H$104,Raw_Data!$O$2:$O$104,$A4,Raw_Data!$P$2:$P$104,2)</f>
        <v>72507.48000000001</v>
      </c>
      <c r="D4" s="47">
        <f>SUMIFS(Raw_Data!$H$2:$H$104,Raw_Data!$O$2:$O$104,$A4,Raw_Data!$P$2:$P$104,3)</f>
        <v>19123.48</v>
      </c>
      <c r="E4" s="47">
        <f>SUMIFS(Raw_Data!$H$2:$H$104,Raw_Data!$O$2:$O$104,$A4,Raw_Data!$P$2:$P$104,4)</f>
        <v>13734.15</v>
      </c>
      <c r="F4" s="47">
        <f>SUMIFS(Raw_Data!$H$2:$H$104,Raw_Data!$O$2:$O$104,$A4,Raw_Data!$P$2:$P$104,5)</f>
        <v>185088.85</v>
      </c>
      <c r="G4" s="47">
        <f>SUMIFS(Raw_Data!$H$2:$H$104,Raw_Data!$O$2:$O$104,$A4,Raw_Data!$P$2:$P$104,6)</f>
        <v>43408.28</v>
      </c>
    </row>
    <row r="5" spans="1:7" x14ac:dyDescent="0.25">
      <c r="A5" s="47" t="s">
        <v>37</v>
      </c>
      <c r="B5" s="47">
        <f>SUMIFS(Raw_Data!$H$2:$H$104,Raw_Data!$O$2:$O$104,$A5,Raw_Data!$P$2:$P$104,1)</f>
        <v>43994.8</v>
      </c>
      <c r="C5" s="47">
        <f>SUMIFS(Raw_Data!$H$2:$H$104,Raw_Data!$O$2:$O$104,$A5,Raw_Data!$P$2:$P$104,2)</f>
        <v>99407.9</v>
      </c>
      <c r="D5" s="47">
        <f>SUMIFS(Raw_Data!$H$2:$H$104,Raw_Data!$O$2:$O$104,$A5,Raw_Data!$P$2:$P$104,3)</f>
        <v>120061.10999999999</v>
      </c>
      <c r="E5" s="47">
        <f>SUMIFS(Raw_Data!$H$2:$H$104,Raw_Data!$O$2:$O$104,$A5,Raw_Data!$P$2:$P$104,4)</f>
        <v>120544.72</v>
      </c>
      <c r="F5" s="47">
        <f>SUMIFS(Raw_Data!$H$2:$H$104,Raw_Data!$O$2:$O$104,$A5,Raw_Data!$P$2:$P$104,5)</f>
        <v>11947.51</v>
      </c>
      <c r="G5" s="47">
        <f>SUMIFS(Raw_Data!$H$2:$H$104,Raw_Data!$O$2:$O$104,$A5,Raw_Data!$P$2:$P$104,6)</f>
        <v>164576.62</v>
      </c>
    </row>
    <row r="6" spans="1:7" x14ac:dyDescent="0.25">
      <c r="A6" s="47" t="s">
        <v>25</v>
      </c>
      <c r="B6" s="47">
        <f>SUMIFS(Raw_Data!$H$2:$H$104,Raw_Data!$O$2:$O$104,$A6,Raw_Data!$P$2:$P$104,1)</f>
        <v>489180.26</v>
      </c>
      <c r="C6" s="47">
        <f>SUMIFS(Raw_Data!$H$2:$H$104,Raw_Data!$O$2:$O$104,$A6,Raw_Data!$P$2:$P$104,2)</f>
        <v>107221.69</v>
      </c>
      <c r="D6" s="47">
        <f>SUMIFS(Raw_Data!$H$2:$H$104,Raw_Data!$O$2:$O$104,$A6,Raw_Data!$P$2:$P$104,3)</f>
        <v>154507.83000000002</v>
      </c>
      <c r="E6" s="47">
        <f>SUMIFS(Raw_Data!$H$2:$H$104,Raw_Data!$O$2:$O$104,$A6,Raw_Data!$P$2:$P$104,4)</f>
        <v>166532.12</v>
      </c>
      <c r="F6" s="47">
        <f>SUMIFS(Raw_Data!$H$2:$H$104,Raw_Data!$O$2:$O$104,$A6,Raw_Data!$P$2:$P$104,5)</f>
        <v>104419.59</v>
      </c>
      <c r="G6" s="47">
        <f>SUMIFS(Raw_Data!$H$2:$H$104,Raw_Data!$O$2:$O$104,$A6,Raw_Data!$P$2:$P$104,6)</f>
        <v>138108.92000000001</v>
      </c>
    </row>
    <row r="7" spans="1:7" x14ac:dyDescent="0.25">
      <c r="A7" s="47" t="s">
        <v>60</v>
      </c>
      <c r="B7" s="47">
        <f>SUMIFS(Raw_Data!$H$2:$H$104,Raw_Data!$O$2:$O$104,$A7,Raw_Data!$P$2:$P$104,1)</f>
        <v>46565.45</v>
      </c>
      <c r="C7" s="47">
        <f>SUMIFS(Raw_Data!$H$2:$H$104,Raw_Data!$O$2:$O$104,$A7,Raw_Data!$P$2:$P$104,2)</f>
        <v>18233.18</v>
      </c>
      <c r="D7" s="47">
        <f>SUMIFS(Raw_Data!$H$2:$H$104,Raw_Data!$O$2:$O$104,$A7,Raw_Data!$P$2:$P$104,3)</f>
        <v>0</v>
      </c>
      <c r="E7" s="47">
        <f>SUMIFS(Raw_Data!$H$2:$H$104,Raw_Data!$O$2:$O$104,$A7,Raw_Data!$P$2:$P$104,4)</f>
        <v>41918.53</v>
      </c>
      <c r="F7" s="47">
        <f>SUMIFS(Raw_Data!$H$2:$H$104,Raw_Data!$O$2:$O$104,$A7,Raw_Data!$P$2:$P$104,5)</f>
        <v>19027.13</v>
      </c>
      <c r="G7" s="47">
        <f>SUMIFS(Raw_Data!$H$2:$H$104,Raw_Data!$O$2:$O$104,$A7,Raw_Data!$P$2:$P$104,6)</f>
        <v>140877</v>
      </c>
    </row>
    <row r="8" spans="1:7" x14ac:dyDescent="0.25">
      <c r="A8" s="47" t="s">
        <v>53</v>
      </c>
      <c r="B8" s="47">
        <f>SUMIFS(Raw_Data!$H$2:$H$104,Raw_Data!$O$2:$O$104,$A8,Raw_Data!$P$2:$P$104,1)</f>
        <v>0</v>
      </c>
      <c r="C8" s="47">
        <f>SUMIFS(Raw_Data!$H$2:$H$104,Raw_Data!$O$2:$O$104,$A8,Raw_Data!$P$2:$P$104,2)</f>
        <v>0</v>
      </c>
      <c r="D8" s="47">
        <f>SUMIFS(Raw_Data!$H$2:$H$104,Raw_Data!$O$2:$O$104,$A8,Raw_Data!$P$2:$P$104,3)</f>
        <v>84286.93</v>
      </c>
      <c r="E8" s="47">
        <f>SUMIFS(Raw_Data!$H$2:$H$104,Raw_Data!$O$2:$O$104,$A8,Raw_Data!$P$2:$P$104,4)</f>
        <v>0</v>
      </c>
      <c r="F8" s="47">
        <f>SUMIFS(Raw_Data!$H$2:$H$104,Raw_Data!$O$2:$O$104,$A8,Raw_Data!$P$2:$P$104,5)</f>
        <v>0</v>
      </c>
      <c r="G8" s="47">
        <f>SUMIFS(Raw_Data!$H$2:$H$104,Raw_Data!$O$2:$O$104,$A8,Raw_Data!$P$2:$P$104,6)</f>
        <v>173649.03</v>
      </c>
    </row>
    <row r="9" spans="1:7" x14ac:dyDescent="0.25">
      <c r="A9" s="47" t="s">
        <v>57</v>
      </c>
      <c r="B9" s="47">
        <f>SUMIFS(Raw_Data!$H$2:$H$104,Raw_Data!$O$2:$O$104,$A9,Raw_Data!$P$2:$P$104,1)</f>
        <v>0</v>
      </c>
      <c r="C9" s="47">
        <f>SUMIFS(Raw_Data!$H$2:$H$104,Raw_Data!$O$2:$O$104,$A9,Raw_Data!$P$2:$P$104,2)</f>
        <v>314113.56</v>
      </c>
      <c r="D9" s="47">
        <f>SUMIFS(Raw_Data!$H$2:$H$104,Raw_Data!$O$2:$O$104,$A9,Raw_Data!$P$2:$P$104,3)</f>
        <v>190424.66</v>
      </c>
      <c r="E9" s="47">
        <f>SUMIFS(Raw_Data!$H$2:$H$104,Raw_Data!$O$2:$O$104,$A9,Raw_Data!$P$2:$P$104,4)</f>
        <v>23037.99</v>
      </c>
      <c r="F9" s="47">
        <f>SUMIFS(Raw_Data!$H$2:$H$104,Raw_Data!$O$2:$O$104,$A9,Raw_Data!$P$2:$P$104,5)</f>
        <v>100142.86</v>
      </c>
      <c r="G9" s="47">
        <f>SUMIFS(Raw_Data!$H$2:$H$104,Raw_Data!$O$2:$O$104,$A9,Raw_Data!$P$2:$P$104,6)</f>
        <v>295359.55999999994</v>
      </c>
    </row>
    <row r="10" spans="1:7" x14ac:dyDescent="0.25">
      <c r="A10" s="47" t="s">
        <v>45</v>
      </c>
      <c r="B10" s="47">
        <f>SUMIFS(Raw_Data!$H$2:$H$104,Raw_Data!$O$2:$O$104,$A10,Raw_Data!$P$2:$P$104,1)</f>
        <v>36595.72</v>
      </c>
      <c r="C10" s="47">
        <f>SUMIFS(Raw_Data!$H$2:$H$104,Raw_Data!$O$2:$O$104,$A10,Raw_Data!$P$2:$P$104,2)</f>
        <v>243884.49000000002</v>
      </c>
      <c r="D10" s="47">
        <f>SUMIFS(Raw_Data!$H$2:$H$104,Raw_Data!$O$2:$O$104,$A10,Raw_Data!$P$2:$P$104,3)</f>
        <v>0</v>
      </c>
      <c r="E10" s="47">
        <f>SUMIFS(Raw_Data!$H$2:$H$104,Raw_Data!$O$2:$O$104,$A10,Raw_Data!$P$2:$P$104,4)</f>
        <v>25634.28</v>
      </c>
      <c r="F10" s="47">
        <f>SUMIFS(Raw_Data!$H$2:$H$104,Raw_Data!$O$2:$O$104,$A10,Raw_Data!$P$2:$P$104,5)</f>
        <v>260409.41000000003</v>
      </c>
      <c r="G10" s="47">
        <f>SUMIFS(Raw_Data!$H$2:$H$104,Raw_Data!$O$2:$O$104,$A10,Raw_Data!$P$2:$P$104,6)</f>
        <v>0</v>
      </c>
    </row>
    <row r="11" spans="1:7" x14ac:dyDescent="0.25">
      <c r="A11" s="47" t="s">
        <v>29</v>
      </c>
      <c r="B11" s="47">
        <f>SUMIFS(Raw_Data!$H$2:$H$104,Raw_Data!$O$2:$O$104,$A11,Raw_Data!$P$2:$P$104,1)</f>
        <v>141073.97</v>
      </c>
      <c r="C11" s="47">
        <f>SUMIFS(Raw_Data!$H$2:$H$104,Raw_Data!$O$2:$O$104,$A11,Raw_Data!$P$2:$P$104,2)</f>
        <v>99649.58</v>
      </c>
      <c r="D11" s="47">
        <f>SUMIFS(Raw_Data!$H$2:$H$104,Raw_Data!$O$2:$O$104,$A11,Raw_Data!$P$2:$P$104,3)</f>
        <v>179726.87</v>
      </c>
      <c r="E11" s="47">
        <f>SUMIFS(Raw_Data!$H$2:$H$104,Raw_Data!$O$2:$O$104,$A11,Raw_Data!$P$2:$P$104,4)</f>
        <v>36590.080000000002</v>
      </c>
      <c r="F11" s="47">
        <f>SUMIFS(Raw_Data!$H$2:$H$104,Raw_Data!$O$2:$O$104,$A11,Raw_Data!$P$2:$P$104,5)</f>
        <v>27771.77</v>
      </c>
      <c r="G11" s="47">
        <f>SUMIFS(Raw_Data!$H$2:$H$104,Raw_Data!$O$2:$O$104,$A11,Raw_Data!$P$2:$P$104,6)</f>
        <v>53441.39</v>
      </c>
    </row>
    <row r="12" spans="1:7" x14ac:dyDescent="0.25">
      <c r="A12" s="47" t="s">
        <v>41</v>
      </c>
      <c r="B12" s="47">
        <f>SUMIFS(Raw_Data!$H$2:$H$104,Raw_Data!$O$2:$O$104,$A12,Raw_Data!$P$2:$P$104,1)</f>
        <v>0</v>
      </c>
      <c r="C12" s="47">
        <f>SUMIFS(Raw_Data!$H$2:$H$104,Raw_Data!$O$2:$O$104,$A12,Raw_Data!$P$2:$P$104,2)</f>
        <v>31985.69</v>
      </c>
      <c r="D12" s="47">
        <f>SUMIFS(Raw_Data!$H$2:$H$104,Raw_Data!$O$2:$O$104,$A12,Raw_Data!$P$2:$P$104,3)</f>
        <v>116037.20999999999</v>
      </c>
      <c r="E12" s="47">
        <f>SUMIFS(Raw_Data!$H$2:$H$104,Raw_Data!$O$2:$O$104,$A12,Raw_Data!$P$2:$P$104,4)</f>
        <v>206378.78999999998</v>
      </c>
      <c r="F12" s="47">
        <f>SUMIFS(Raw_Data!$H$2:$H$104,Raw_Data!$O$2:$O$104,$A12,Raw_Data!$P$2:$P$104,5)</f>
        <v>77077.61</v>
      </c>
      <c r="G12" s="47">
        <f>SUMIFS(Raw_Data!$H$2:$H$104,Raw_Data!$O$2:$O$104,$A12,Raw_Data!$P$2:$P$104,6)</f>
        <v>191041.9</v>
      </c>
    </row>
    <row r="13" spans="1:7" x14ac:dyDescent="0.25">
      <c r="A13" s="53" t="s">
        <v>347</v>
      </c>
      <c r="B13" s="53">
        <f t="shared" ref="B13:G13" si="0">SUM(B3:B12)</f>
        <v>812965.99999999988</v>
      </c>
      <c r="C13" s="53">
        <f t="shared" si="0"/>
        <v>1163518.0900000001</v>
      </c>
      <c r="D13" s="53">
        <f t="shared" si="0"/>
        <v>934694.3899999999</v>
      </c>
      <c r="E13" s="53">
        <f t="shared" si="0"/>
        <v>634370.66</v>
      </c>
      <c r="F13" s="53">
        <f t="shared" si="0"/>
        <v>985960.41</v>
      </c>
      <c r="G13" s="53">
        <f t="shared" si="0"/>
        <v>1421460.1199999999</v>
      </c>
    </row>
    <row r="20" spans="1:2" x14ac:dyDescent="0.25">
      <c r="A20" s="51" t="s">
        <v>348</v>
      </c>
      <c r="B20" s="52"/>
    </row>
    <row r="21" spans="1:2" x14ac:dyDescent="0.25">
      <c r="A21" s="19" t="s">
        <v>8</v>
      </c>
      <c r="B21" s="19" t="s">
        <v>75</v>
      </c>
    </row>
    <row r="22" spans="1:2" x14ac:dyDescent="0.25">
      <c r="A22" s="47" t="s">
        <v>33</v>
      </c>
      <c r="B22" s="47">
        <f>SUMIFS(Raw_Data!$H$2:$H$104,Raw_Data!$O$2:$O$104,$A22)</f>
        <v>668113.92000000016</v>
      </c>
    </row>
    <row r="23" spans="1:2" x14ac:dyDescent="0.25">
      <c r="A23" s="47" t="s">
        <v>49</v>
      </c>
      <c r="B23" s="47">
        <f>SUMIFS(Raw_Data!$H$2:$H$104,Raw_Data!$O$2:$O$104,$A23)</f>
        <v>389418.04000000004</v>
      </c>
    </row>
    <row r="24" spans="1:2" x14ac:dyDescent="0.25">
      <c r="A24" s="47" t="s">
        <v>37</v>
      </c>
      <c r="B24" s="47">
        <f>SUMIFS(Raw_Data!$H$2:$H$104,Raw_Data!$O$2:$O$104,$A24)</f>
        <v>560532.66</v>
      </c>
    </row>
    <row r="25" spans="1:2" x14ac:dyDescent="0.25">
      <c r="A25" s="47" t="s">
        <v>25</v>
      </c>
      <c r="B25" s="47">
        <f>SUMIFS(Raw_Data!$H$2:$H$104,Raw_Data!$O$2:$O$104,$A25)</f>
        <v>1159970.4099999997</v>
      </c>
    </row>
    <row r="26" spans="1:2" x14ac:dyDescent="0.25">
      <c r="A26" s="47" t="s">
        <v>60</v>
      </c>
      <c r="B26" s="47">
        <f>SUMIFS(Raw_Data!$H$2:$H$104,Raw_Data!$O$2:$O$104,$A26)</f>
        <v>266621.28999999998</v>
      </c>
    </row>
    <row r="27" spans="1:2" x14ac:dyDescent="0.25">
      <c r="A27" s="47" t="s">
        <v>53</v>
      </c>
      <c r="B27" s="47">
        <f>SUMIFS(Raw_Data!$H$2:$H$104,Raw_Data!$O$2:$O$104,$A27)</f>
        <v>257935.96</v>
      </c>
    </row>
    <row r="28" spans="1:2" x14ac:dyDescent="0.25">
      <c r="A28" s="47" t="s">
        <v>57</v>
      </c>
      <c r="B28" s="47">
        <f>SUMIFS(Raw_Data!$H$2:$H$104,Raw_Data!$O$2:$O$104,$A28)</f>
        <v>923078.62999999989</v>
      </c>
    </row>
    <row r="29" spans="1:2" x14ac:dyDescent="0.25">
      <c r="A29" s="47" t="s">
        <v>45</v>
      </c>
      <c r="B29" s="47">
        <f>SUMIFS(Raw_Data!$H$2:$H$104,Raw_Data!$O$2:$O$104,$A29)</f>
        <v>566523.9</v>
      </c>
    </row>
    <row r="30" spans="1:2" x14ac:dyDescent="0.25">
      <c r="A30" s="47" t="s">
        <v>29</v>
      </c>
      <c r="B30" s="47">
        <f>SUMIFS(Raw_Data!$H$2:$H$104,Raw_Data!$O$2:$O$104,$A30)</f>
        <v>538253.66</v>
      </c>
    </row>
    <row r="31" spans="1:2" x14ac:dyDescent="0.25">
      <c r="A31" s="47" t="s">
        <v>41</v>
      </c>
      <c r="B31" s="47">
        <f>SUMIFS(Raw_Data!$H$2:$H$104,Raw_Data!$O$2:$O$104,$A31)</f>
        <v>622521.19999999995</v>
      </c>
    </row>
    <row r="35" spans="1:2" x14ac:dyDescent="0.25">
      <c r="A35" s="51" t="s">
        <v>349</v>
      </c>
      <c r="B35" s="52"/>
    </row>
    <row r="36" spans="1:2" x14ac:dyDescent="0.25">
      <c r="A36" s="19" t="s">
        <v>8</v>
      </c>
      <c r="B36" s="19" t="s">
        <v>75</v>
      </c>
    </row>
    <row r="37" spans="1:2" x14ac:dyDescent="0.25">
      <c r="A37" s="47" t="s">
        <v>33</v>
      </c>
      <c r="B37" s="47">
        <f>IF(Dashboard!$B$4="All",$B$22,INDEX($B$3:$G$3,1,MATCH(Dashboard!$B$4,{"Jan","Feb","Mar","Apr","May","Jun"},0)))</f>
        <v>668113.92000000016</v>
      </c>
    </row>
    <row r="38" spans="1:2" x14ac:dyDescent="0.25">
      <c r="A38" s="47" t="s">
        <v>49</v>
      </c>
      <c r="B38" s="47">
        <f>IF(Dashboard!$B$4="All",$B$23,INDEX($B$4:$G$4,1,MATCH(Dashboard!$B$4,{"Jan","Feb","Mar","Apr","May","Jun"},0)))</f>
        <v>389418.04000000004</v>
      </c>
    </row>
    <row r="39" spans="1:2" x14ac:dyDescent="0.25">
      <c r="A39" s="47" t="s">
        <v>37</v>
      </c>
      <c r="B39" s="47">
        <f>IF(Dashboard!$B$4="All",$B$24,INDEX($B$5:$G$5,1,MATCH(Dashboard!$B$4,{"Jan","Feb","Mar","Apr","May","Jun"},0)))</f>
        <v>560532.66</v>
      </c>
    </row>
    <row r="40" spans="1:2" x14ac:dyDescent="0.25">
      <c r="A40" s="47" t="s">
        <v>25</v>
      </c>
      <c r="B40" s="47">
        <f>IF(Dashboard!$B$4="All",$B$25,INDEX($B$6:$G$6,1,MATCH(Dashboard!$B$4,{"Jan","Feb","Mar","Apr","May","Jun"},0)))</f>
        <v>1159970.4099999997</v>
      </c>
    </row>
    <row r="41" spans="1:2" x14ac:dyDescent="0.25">
      <c r="A41" s="47" t="s">
        <v>60</v>
      </c>
      <c r="B41" s="47">
        <f>IF(Dashboard!$B$4="All",$B$26,INDEX($B$7:$G$7,1,MATCH(Dashboard!$B$4,{"Jan","Feb","Mar","Apr","May","Jun"},0)))</f>
        <v>266621.28999999998</v>
      </c>
    </row>
    <row r="42" spans="1:2" x14ac:dyDescent="0.25">
      <c r="A42" s="47" t="s">
        <v>53</v>
      </c>
      <c r="B42" s="47">
        <f>IF(Dashboard!$B$4="All",$B$27,INDEX($B$8:$G$8,1,MATCH(Dashboard!$B$4,{"Jan","Feb","Mar","Apr","May","Jun"},0)))</f>
        <v>257935.96</v>
      </c>
    </row>
    <row r="43" spans="1:2" x14ac:dyDescent="0.25">
      <c r="A43" s="47" t="s">
        <v>57</v>
      </c>
      <c r="B43" s="47">
        <f>IF(Dashboard!$B$4="All",$B$28,INDEX($B$9:$G$9,1,MATCH(Dashboard!$B$4,{"Jan","Feb","Mar","Apr","May","Jun"},0)))</f>
        <v>923078.62999999989</v>
      </c>
    </row>
    <row r="44" spans="1:2" x14ac:dyDescent="0.25">
      <c r="A44" s="47" t="s">
        <v>45</v>
      </c>
      <c r="B44" s="47">
        <f>IF(Dashboard!$B$4="All",$B$29,INDEX($B$10:$G$10,1,MATCH(Dashboard!$B$4,{"Jan","Feb","Mar","Apr","May","Jun"},0)))</f>
        <v>566523.9</v>
      </c>
    </row>
    <row r="45" spans="1:2" x14ac:dyDescent="0.25">
      <c r="A45" s="47" t="s">
        <v>29</v>
      </c>
      <c r="B45" s="47">
        <f>IF(Dashboard!$B$4="All",$B$30,INDEX($B$11:$G$11,1,MATCH(Dashboard!$B$4,{"Jan","Feb","Mar","Apr","May","Jun"},0)))</f>
        <v>538253.66</v>
      </c>
    </row>
    <row r="46" spans="1:2" x14ac:dyDescent="0.25">
      <c r="A46" s="47" t="s">
        <v>41</v>
      </c>
      <c r="B46" s="47">
        <f>IF(Dashboard!$B$4="All",$B$31,INDEX($B$12:$G$12,1,MATCH(Dashboard!$B$4,{"Jan","Feb","Mar","Apr","May","Jun"},0)))</f>
        <v>622521.19999999995</v>
      </c>
    </row>
    <row r="60" spans="1:5" x14ac:dyDescent="0.25">
      <c r="A60" s="51" t="s">
        <v>350</v>
      </c>
      <c r="B60" s="52"/>
      <c r="C60" s="52"/>
      <c r="D60" s="52"/>
      <c r="E60" s="52"/>
    </row>
    <row r="61" spans="1:5" x14ac:dyDescent="0.25">
      <c r="A61" s="19" t="s">
        <v>8</v>
      </c>
      <c r="B61" s="19" t="s">
        <v>9</v>
      </c>
      <c r="C61" s="19" t="s">
        <v>10</v>
      </c>
      <c r="D61" s="19" t="s">
        <v>11</v>
      </c>
      <c r="E61" s="19" t="s">
        <v>12</v>
      </c>
    </row>
    <row r="62" spans="1:5" x14ac:dyDescent="0.25">
      <c r="A62" s="47" t="s">
        <v>33</v>
      </c>
      <c r="B62" s="47">
        <f>IF(Dashboard!$B$4="All",SUMIFS(Raw_Data!$H$2:$H$104,Raw_Data!$O$2:$O$104,$A62,Raw_Data!$I$2:$I$104,"Paid"),SUMIFS(Raw_Data!$H$2:$H$104,Raw_Data!$O$2:$O$104,$A62,Raw_Data!$I$2:$I$104,"Paid",Raw_Data!$P$2:$P$104,MATCH(Dashboard!$B$4,{"Jan","Feb","Mar","Apr","May","Jun"},0)))</f>
        <v>383814.60000000003</v>
      </c>
      <c r="C62" s="47">
        <f>IF(Dashboard!$B$4="All",SUMIFS(Raw_Data!$H$2:$H$104,Raw_Data!$O$2:$O$104,$A62,Raw_Data!$I$2:$I$104,"Pending"),SUMIFS(Raw_Data!$H$2:$H$104,Raw_Data!$O$2:$O$104,$A62,Raw_Data!$I$2:$I$104,"Pending",Raw_Data!$P$2:$P$104,MATCH(Dashboard!$B$4,{"Jan","Feb","Mar","Apr","May","Jun"},0)))</f>
        <v>107784.8</v>
      </c>
      <c r="D62" s="47">
        <f>IF(Dashboard!$B$4="All",SUMIFS(Raw_Data!$H$2:$H$104,Raw_Data!$O$2:$O$104,$A62,Raw_Data!$I$2:$I$104,"Overdue"),SUMIFS(Raw_Data!$H$2:$H$104,Raw_Data!$O$2:$O$104,$A62,Raw_Data!$I$2:$I$104,"Overdue",Raw_Data!$P$2:$P$104,MATCH(Dashboard!$B$4,{"Jan","Feb","Mar","Apr","May","Jun"},0)))</f>
        <v>176514.52</v>
      </c>
      <c r="E62" s="47">
        <f t="shared" ref="E62:E71" si="1">SUM(B62:D62)</f>
        <v>668113.92000000004</v>
      </c>
    </row>
    <row r="63" spans="1:5" x14ac:dyDescent="0.25">
      <c r="A63" s="47" t="s">
        <v>49</v>
      </c>
      <c r="B63" s="47">
        <f>IF(Dashboard!$B$4="All",SUMIFS(Raw_Data!$H$2:$H$104,Raw_Data!$O$2:$O$104,$A63,Raw_Data!$I$2:$I$104,"Paid"),SUMIFS(Raw_Data!$H$2:$H$104,Raw_Data!$O$2:$O$104,$A63,Raw_Data!$I$2:$I$104,"Paid",Raw_Data!$P$2:$P$104,MATCH(Dashboard!$B$4,{"Jan","Feb","Mar","Apr","May","Jun"},0)))</f>
        <v>192487.37</v>
      </c>
      <c r="C63" s="47">
        <f>IF(Dashboard!$B$4="All",SUMIFS(Raw_Data!$H$2:$H$104,Raw_Data!$O$2:$O$104,$A63,Raw_Data!$I$2:$I$104,"Pending"),SUMIFS(Raw_Data!$H$2:$H$104,Raw_Data!$O$2:$O$104,$A63,Raw_Data!$I$2:$I$104,"Pending",Raw_Data!$P$2:$P$104,MATCH(Dashboard!$B$4,{"Jan","Feb","Mar","Apr","May","Jun"},0)))</f>
        <v>127640.72</v>
      </c>
      <c r="D63" s="47">
        <f>IF(Dashboard!$B$4="All",SUMIFS(Raw_Data!$H$2:$H$104,Raw_Data!$O$2:$O$104,$A63,Raw_Data!$I$2:$I$104,"Overdue"),SUMIFS(Raw_Data!$H$2:$H$104,Raw_Data!$O$2:$O$104,$A63,Raw_Data!$I$2:$I$104,"Overdue",Raw_Data!$P$2:$P$104,MATCH(Dashboard!$B$4,{"Jan","Feb","Mar","Apr","May","Jun"},0)))</f>
        <v>69289.95</v>
      </c>
      <c r="E63" s="47">
        <f t="shared" si="1"/>
        <v>389418.04</v>
      </c>
    </row>
    <row r="64" spans="1:5" x14ac:dyDescent="0.25">
      <c r="A64" s="47" t="s">
        <v>37</v>
      </c>
      <c r="B64" s="47">
        <f>IF(Dashboard!$B$4="All",SUMIFS(Raw_Data!$H$2:$H$104,Raw_Data!$O$2:$O$104,$A64,Raw_Data!$I$2:$I$104,"Paid"),SUMIFS(Raw_Data!$H$2:$H$104,Raw_Data!$O$2:$O$104,$A64,Raw_Data!$I$2:$I$104,"Paid",Raw_Data!$P$2:$P$104,MATCH(Dashboard!$B$4,{"Jan","Feb","Mar","Apr","May","Jun"},0)))</f>
        <v>458479.15</v>
      </c>
      <c r="C64" s="47">
        <f>IF(Dashboard!$B$4="All",SUMIFS(Raw_Data!$H$2:$H$104,Raw_Data!$O$2:$O$104,$A64,Raw_Data!$I$2:$I$104,"Pending"),SUMIFS(Raw_Data!$H$2:$H$104,Raw_Data!$O$2:$O$104,$A64,Raw_Data!$I$2:$I$104,"Pending",Raw_Data!$P$2:$P$104,MATCH(Dashboard!$B$4,{"Jan","Feb","Mar","Apr","May","Jun"},0)))</f>
        <v>90106</v>
      </c>
      <c r="D64" s="47">
        <f>IF(Dashboard!$B$4="All",SUMIFS(Raw_Data!$H$2:$H$104,Raw_Data!$O$2:$O$104,$A64,Raw_Data!$I$2:$I$104,"Overdue"),SUMIFS(Raw_Data!$H$2:$H$104,Raw_Data!$O$2:$O$104,$A64,Raw_Data!$I$2:$I$104,"Overdue",Raw_Data!$P$2:$P$104,MATCH(Dashboard!$B$4,{"Jan","Feb","Mar","Apr","May","Jun"},0)))</f>
        <v>11947.51</v>
      </c>
      <c r="E64" s="47">
        <f t="shared" si="1"/>
        <v>560532.66</v>
      </c>
    </row>
    <row r="65" spans="1:5" x14ac:dyDescent="0.25">
      <c r="A65" s="47" t="s">
        <v>25</v>
      </c>
      <c r="B65" s="47">
        <f>IF(Dashboard!$B$4="All",SUMIFS(Raw_Data!$H$2:$H$104,Raw_Data!$O$2:$O$104,$A65,Raw_Data!$I$2:$I$104,"Paid"),SUMIFS(Raw_Data!$H$2:$H$104,Raw_Data!$O$2:$O$104,$A65,Raw_Data!$I$2:$I$104,"Paid",Raw_Data!$P$2:$P$104,MATCH(Dashboard!$B$4,{"Jan","Feb","Mar","Apr","May","Jun"},0)))</f>
        <v>927746</v>
      </c>
      <c r="C65" s="47">
        <f>IF(Dashboard!$B$4="All",SUMIFS(Raw_Data!$H$2:$H$104,Raw_Data!$O$2:$O$104,$A65,Raw_Data!$I$2:$I$104,"Pending"),SUMIFS(Raw_Data!$H$2:$H$104,Raw_Data!$O$2:$O$104,$A65,Raw_Data!$I$2:$I$104,"Pending",Raw_Data!$P$2:$P$104,MATCH(Dashboard!$B$4,{"Jan","Feb","Mar","Apr","May","Jun"},0)))</f>
        <v>29400.73</v>
      </c>
      <c r="D65" s="47">
        <f>IF(Dashboard!$B$4="All",SUMIFS(Raw_Data!$H$2:$H$104,Raw_Data!$O$2:$O$104,$A65,Raw_Data!$I$2:$I$104,"Overdue"),SUMIFS(Raw_Data!$H$2:$H$104,Raw_Data!$O$2:$O$104,$A65,Raw_Data!$I$2:$I$104,"Overdue",Raw_Data!$P$2:$P$104,MATCH(Dashboard!$B$4,{"Jan","Feb","Mar","Apr","May","Jun"},0)))</f>
        <v>202823.67999999999</v>
      </c>
      <c r="E65" s="47">
        <f t="shared" si="1"/>
        <v>1159970.4099999999</v>
      </c>
    </row>
    <row r="66" spans="1:5" x14ac:dyDescent="0.25">
      <c r="A66" s="47" t="s">
        <v>60</v>
      </c>
      <c r="B66" s="47">
        <f>IF(Dashboard!$B$4="All",SUMIFS(Raw_Data!$H$2:$H$104,Raw_Data!$O$2:$O$104,$A66,Raw_Data!$I$2:$I$104,"Paid"),SUMIFS(Raw_Data!$H$2:$H$104,Raw_Data!$O$2:$O$104,$A66,Raw_Data!$I$2:$I$104,"Paid",Raw_Data!$P$2:$P$104,MATCH(Dashboard!$B$4,{"Jan","Feb","Mar","Apr","May","Jun"},0)))</f>
        <v>119719.48</v>
      </c>
      <c r="C66" s="47">
        <f>IF(Dashboard!$B$4="All",SUMIFS(Raw_Data!$H$2:$H$104,Raw_Data!$O$2:$O$104,$A66,Raw_Data!$I$2:$I$104,"Pending"),SUMIFS(Raw_Data!$H$2:$H$104,Raw_Data!$O$2:$O$104,$A66,Raw_Data!$I$2:$I$104,"Pending",Raw_Data!$P$2:$P$104,MATCH(Dashboard!$B$4,{"Jan","Feb","Mar","Apr","May","Jun"},0)))</f>
        <v>128668.63</v>
      </c>
      <c r="D66" s="47">
        <f>IF(Dashboard!$B$4="All",SUMIFS(Raw_Data!$H$2:$H$104,Raw_Data!$O$2:$O$104,$A66,Raw_Data!$I$2:$I$104,"Overdue"),SUMIFS(Raw_Data!$H$2:$H$104,Raw_Data!$O$2:$O$104,$A66,Raw_Data!$I$2:$I$104,"Overdue",Raw_Data!$P$2:$P$104,MATCH(Dashboard!$B$4,{"Jan","Feb","Mar","Apr","May","Jun"},0)))</f>
        <v>18233.18</v>
      </c>
      <c r="E66" s="47">
        <f t="shared" si="1"/>
        <v>266621.28999999998</v>
      </c>
    </row>
    <row r="67" spans="1:5" x14ac:dyDescent="0.25">
      <c r="A67" s="47" t="s">
        <v>53</v>
      </c>
      <c r="B67" s="47">
        <f>IF(Dashboard!$B$4="All",SUMIFS(Raw_Data!$H$2:$H$104,Raw_Data!$O$2:$O$104,$A67,Raw_Data!$I$2:$I$104,"Paid"),SUMIFS(Raw_Data!$H$2:$H$104,Raw_Data!$O$2:$O$104,$A67,Raw_Data!$I$2:$I$104,"Paid",Raw_Data!$P$2:$P$104,MATCH(Dashboard!$B$4,{"Jan","Feb","Mar","Apr","May","Jun"},0)))</f>
        <v>226557.38</v>
      </c>
      <c r="C67" s="47">
        <f>IF(Dashboard!$B$4="All",SUMIFS(Raw_Data!$H$2:$H$104,Raw_Data!$O$2:$O$104,$A67,Raw_Data!$I$2:$I$104,"Pending"),SUMIFS(Raw_Data!$H$2:$H$104,Raw_Data!$O$2:$O$104,$A67,Raw_Data!$I$2:$I$104,"Pending",Raw_Data!$P$2:$P$104,MATCH(Dashboard!$B$4,{"Jan","Feb","Mar","Apr","May","Jun"},0)))</f>
        <v>0</v>
      </c>
      <c r="D67" s="47">
        <f>IF(Dashboard!$B$4="All",SUMIFS(Raw_Data!$H$2:$H$104,Raw_Data!$O$2:$O$104,$A67,Raw_Data!$I$2:$I$104,"Overdue"),SUMIFS(Raw_Data!$H$2:$H$104,Raw_Data!$O$2:$O$104,$A67,Raw_Data!$I$2:$I$104,"Overdue",Raw_Data!$P$2:$P$104,MATCH(Dashboard!$B$4,{"Jan","Feb","Mar","Apr","May","Jun"},0)))</f>
        <v>31378.58</v>
      </c>
      <c r="E67" s="47">
        <f t="shared" si="1"/>
        <v>257935.96000000002</v>
      </c>
    </row>
    <row r="68" spans="1:5" x14ac:dyDescent="0.25">
      <c r="A68" s="47" t="s">
        <v>57</v>
      </c>
      <c r="B68" s="47">
        <f>IF(Dashboard!$B$4="All",SUMIFS(Raw_Data!$H$2:$H$104,Raw_Data!$O$2:$O$104,$A68,Raw_Data!$I$2:$I$104,"Paid"),SUMIFS(Raw_Data!$H$2:$H$104,Raw_Data!$O$2:$O$104,$A68,Raw_Data!$I$2:$I$104,"Paid",Raw_Data!$P$2:$P$104,MATCH(Dashboard!$B$4,{"Jan","Feb","Mar","Apr","May","Jun"},0)))</f>
        <v>652777.28</v>
      </c>
      <c r="C68" s="47">
        <f>IF(Dashboard!$B$4="All",SUMIFS(Raw_Data!$H$2:$H$104,Raw_Data!$O$2:$O$104,$A68,Raw_Data!$I$2:$I$104,"Pending"),SUMIFS(Raw_Data!$H$2:$H$104,Raw_Data!$O$2:$O$104,$A68,Raw_Data!$I$2:$I$104,"Pending",Raw_Data!$P$2:$P$104,MATCH(Dashboard!$B$4,{"Jan","Feb","Mar","Apr","May","Jun"},0)))</f>
        <v>158639.52000000002</v>
      </c>
      <c r="D68" s="47">
        <f>IF(Dashboard!$B$4="All",SUMIFS(Raw_Data!$H$2:$H$104,Raw_Data!$O$2:$O$104,$A68,Raw_Data!$I$2:$I$104,"Overdue"),SUMIFS(Raw_Data!$H$2:$H$104,Raw_Data!$O$2:$O$104,$A68,Raw_Data!$I$2:$I$104,"Overdue",Raw_Data!$P$2:$P$104,MATCH(Dashboard!$B$4,{"Jan","Feb","Mar","Apr","May","Jun"},0)))</f>
        <v>111661.83</v>
      </c>
      <c r="E68" s="47">
        <f t="shared" si="1"/>
        <v>923078.63</v>
      </c>
    </row>
    <row r="69" spans="1:5" x14ac:dyDescent="0.25">
      <c r="A69" s="47" t="s">
        <v>45</v>
      </c>
      <c r="B69" s="47">
        <f>IF(Dashboard!$B$4="All",SUMIFS(Raw_Data!$H$2:$H$104,Raw_Data!$O$2:$O$104,$A69,Raw_Data!$I$2:$I$104,"Paid"),SUMIFS(Raw_Data!$H$2:$H$104,Raw_Data!$O$2:$O$104,$A69,Raw_Data!$I$2:$I$104,"Paid",Raw_Data!$P$2:$P$104,MATCH(Dashboard!$B$4,{"Jan","Feb","Mar","Apr","May","Jun"},0)))</f>
        <v>504788.32</v>
      </c>
      <c r="C69" s="47">
        <f>IF(Dashboard!$B$4="All",SUMIFS(Raw_Data!$H$2:$H$104,Raw_Data!$O$2:$O$104,$A69,Raw_Data!$I$2:$I$104,"Pending"),SUMIFS(Raw_Data!$H$2:$H$104,Raw_Data!$O$2:$O$104,$A69,Raw_Data!$I$2:$I$104,"Pending",Raw_Data!$P$2:$P$104,MATCH(Dashboard!$B$4,{"Jan","Feb","Mar","Apr","May","Jun"},0)))</f>
        <v>0</v>
      </c>
      <c r="D69" s="47">
        <f>IF(Dashboard!$B$4="All",SUMIFS(Raw_Data!$H$2:$H$104,Raw_Data!$O$2:$O$104,$A69,Raw_Data!$I$2:$I$104,"Overdue"),SUMIFS(Raw_Data!$H$2:$H$104,Raw_Data!$O$2:$O$104,$A69,Raw_Data!$I$2:$I$104,"Overdue",Raw_Data!$P$2:$P$104,MATCH(Dashboard!$B$4,{"Jan","Feb","Mar","Apr","May","Jun"},0)))</f>
        <v>61735.58</v>
      </c>
      <c r="E69" s="47">
        <f t="shared" si="1"/>
        <v>566523.9</v>
      </c>
    </row>
    <row r="70" spans="1:5" x14ac:dyDescent="0.25">
      <c r="A70" s="47" t="s">
        <v>29</v>
      </c>
      <c r="B70" s="47">
        <f>IF(Dashboard!$B$4="All",SUMIFS(Raw_Data!$H$2:$H$104,Raw_Data!$O$2:$O$104,$A70,Raw_Data!$I$2:$I$104,"Paid"),SUMIFS(Raw_Data!$H$2:$H$104,Raw_Data!$O$2:$O$104,$A70,Raw_Data!$I$2:$I$104,"Paid",Raw_Data!$P$2:$P$104,MATCH(Dashboard!$B$4,{"Jan","Feb","Mar","Apr","May","Jun"},0)))</f>
        <v>390893.44</v>
      </c>
      <c r="C70" s="47">
        <f>IF(Dashboard!$B$4="All",SUMIFS(Raw_Data!$H$2:$H$104,Raw_Data!$O$2:$O$104,$A70,Raw_Data!$I$2:$I$104,"Pending"),SUMIFS(Raw_Data!$H$2:$H$104,Raw_Data!$O$2:$O$104,$A70,Raw_Data!$I$2:$I$104,"Pending",Raw_Data!$P$2:$P$104,MATCH(Dashboard!$B$4,{"Jan","Feb","Mar","Apr","May","Jun"},0)))</f>
        <v>53441.39</v>
      </c>
      <c r="D70" s="47">
        <f>IF(Dashboard!$B$4="All",SUMIFS(Raw_Data!$H$2:$H$104,Raw_Data!$O$2:$O$104,$A70,Raw_Data!$I$2:$I$104,"Overdue"),SUMIFS(Raw_Data!$H$2:$H$104,Raw_Data!$O$2:$O$104,$A70,Raw_Data!$I$2:$I$104,"Overdue",Raw_Data!$P$2:$P$104,MATCH(Dashboard!$B$4,{"Jan","Feb","Mar","Apr","May","Jun"},0)))</f>
        <v>93918.83</v>
      </c>
      <c r="E70" s="47">
        <f t="shared" si="1"/>
        <v>538253.66</v>
      </c>
    </row>
    <row r="71" spans="1:5" x14ac:dyDescent="0.25">
      <c r="A71" s="47" t="s">
        <v>41</v>
      </c>
      <c r="B71" s="47">
        <f>IF(Dashboard!$B$4="All",SUMIFS(Raw_Data!$H$2:$H$104,Raw_Data!$O$2:$O$104,$A71,Raw_Data!$I$2:$I$104,"Paid"),SUMIFS(Raw_Data!$H$2:$H$104,Raw_Data!$O$2:$O$104,$A71,Raw_Data!$I$2:$I$104,"Paid",Raw_Data!$P$2:$P$104,MATCH(Dashboard!$B$4,{"Jan","Feb","Mar","Apr","May","Jun"},0)))</f>
        <v>488193.49</v>
      </c>
      <c r="C71" s="47">
        <f>IF(Dashboard!$B$4="All",SUMIFS(Raw_Data!$H$2:$H$104,Raw_Data!$O$2:$O$104,$A71,Raw_Data!$I$2:$I$104,"Pending"),SUMIFS(Raw_Data!$H$2:$H$104,Raw_Data!$O$2:$O$104,$A71,Raw_Data!$I$2:$I$104,"Pending",Raw_Data!$P$2:$P$104,MATCH(Dashboard!$B$4,{"Jan","Feb","Mar","Apr","May","Jun"},0)))</f>
        <v>102342.01999999999</v>
      </c>
      <c r="D71" s="47">
        <f>IF(Dashboard!$B$4="All",SUMIFS(Raw_Data!$H$2:$H$104,Raw_Data!$O$2:$O$104,$A71,Raw_Data!$I$2:$I$104,"Overdue"),SUMIFS(Raw_Data!$H$2:$H$104,Raw_Data!$O$2:$O$104,$A71,Raw_Data!$I$2:$I$104,"Overdue",Raw_Data!$P$2:$P$104,MATCH(Dashboard!$B$4,{"Jan","Feb","Mar","Apr","May","Jun"},0)))</f>
        <v>31985.69</v>
      </c>
      <c r="E71" s="47">
        <f t="shared" si="1"/>
        <v>622521.19999999995</v>
      </c>
    </row>
    <row r="72" spans="1:5" x14ac:dyDescent="0.25">
      <c r="A72" s="53" t="s">
        <v>12</v>
      </c>
      <c r="B72" s="53">
        <f>SUM(B62:B71)</f>
        <v>4345456.51</v>
      </c>
      <c r="C72" s="53">
        <f>SUM(C62:C71)</f>
        <v>798023.81</v>
      </c>
      <c r="D72" s="53">
        <f>SUM(D62:D71)</f>
        <v>809489.34999999986</v>
      </c>
      <c r="E72" s="53">
        <f>SUM(E62:E71)</f>
        <v>5952969.6700000009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Dashboard</vt:lpstr>
      <vt:lpstr>Assumptions</vt:lpstr>
      <vt:lpstr>Vendor_Master</vt:lpstr>
      <vt:lpstr>Raw_Data</vt:lpstr>
      <vt:lpstr>PivotTable_Analysis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 t</cp:lastModifiedBy>
  <cp:revision>2</cp:revision>
  <dcterms:created xsi:type="dcterms:W3CDTF">2026-06-28T15:55:26Z</dcterms:created>
  <dcterms:modified xsi:type="dcterms:W3CDTF">2026-06-28T21:14:11Z</dcterms:modified>
  <dc:language>en-US</dc:language>
</cp:coreProperties>
</file>