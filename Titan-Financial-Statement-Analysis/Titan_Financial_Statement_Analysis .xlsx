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91880\Downloads\"/>
    </mc:Choice>
  </mc:AlternateContent>
  <xr:revisionPtr revIDLastSave="0" documentId="13_ncr:1_{0AF949C8-7023-45B2-8C78-D7398F5085E8}" xr6:coauthVersionLast="47" xr6:coauthVersionMax="47" xr10:uidLastSave="{00000000-0000-0000-0000-000000000000}"/>
  <bookViews>
    <workbookView xWindow="-120" yWindow="-120" windowWidth="20730" windowHeight="11160" tabRatio="500" xr2:uid="{00000000-000D-0000-FFFF-FFFF00000000}"/>
  </bookViews>
  <sheets>
    <sheet name="Cover" sheetId="1" r:id="rId1"/>
    <sheet name="Income Statement" sheetId="2" r:id="rId2"/>
    <sheet name="Balance Sheet" sheetId="3" r:id="rId3"/>
    <sheet name="Cash Flow" sheetId="4" r:id="rId4"/>
    <sheet name="Ratio Analysis" sheetId="5" r:id="rId5"/>
    <sheet name="Trend Analysis" sheetId="6" r:id="rId6"/>
    <sheet name="Observation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 i="6" l="1"/>
  <c r="B19" i="6"/>
  <c r="B18" i="6"/>
  <c r="D13" i="6"/>
  <c r="C13" i="6"/>
  <c r="B13" i="6"/>
  <c r="D12" i="6"/>
  <c r="E12" i="6" s="1"/>
  <c r="C12" i="6"/>
  <c r="B12" i="6"/>
  <c r="D11" i="6"/>
  <c r="E11" i="6" s="1"/>
  <c r="C11" i="6"/>
  <c r="B11" i="6"/>
  <c r="D10" i="6"/>
  <c r="E10" i="6" s="1"/>
  <c r="C10" i="6"/>
  <c r="B10" i="6"/>
  <c r="D8" i="6"/>
  <c r="E8" i="6" s="1"/>
  <c r="C8" i="6"/>
  <c r="B8" i="6"/>
  <c r="D5" i="6"/>
  <c r="E5" i="6" s="1"/>
  <c r="C5" i="6"/>
  <c r="B5" i="6"/>
  <c r="E9" i="5"/>
  <c r="D9" i="5"/>
  <c r="C9" i="5"/>
  <c r="E7" i="5"/>
  <c r="D7" i="5"/>
  <c r="C7" i="5"/>
  <c r="E5" i="5"/>
  <c r="D5" i="5"/>
  <c r="D8" i="4"/>
  <c r="D10" i="4" s="1"/>
  <c r="C8" i="4"/>
  <c r="C10" i="4" s="1"/>
  <c r="B8" i="4"/>
  <c r="B10" i="4" s="1"/>
  <c r="D16" i="3"/>
  <c r="C16" i="3"/>
  <c r="B16" i="3"/>
  <c r="D11" i="3"/>
  <c r="C11" i="3"/>
  <c r="B11" i="3"/>
  <c r="D21" i="2"/>
  <c r="C21" i="2"/>
  <c r="D15" i="2"/>
  <c r="C15" i="2"/>
  <c r="B15" i="2"/>
  <c r="D7" i="2"/>
  <c r="D16" i="2" s="1"/>
  <c r="C7" i="2"/>
  <c r="C16" i="2" s="1"/>
  <c r="B7" i="2"/>
  <c r="B16" i="2" s="1"/>
  <c r="D9" i="6" l="1"/>
  <c r="E9" i="6" s="1"/>
  <c r="E10" i="5"/>
  <c r="D24" i="3"/>
  <c r="D25" i="3" s="1"/>
  <c r="C9" i="6"/>
  <c r="D10" i="5"/>
  <c r="C24" i="3"/>
  <c r="C25" i="3" s="1"/>
  <c r="B9" i="6"/>
  <c r="C10" i="5"/>
  <c r="B24" i="3"/>
  <c r="B25" i="3" s="1"/>
  <c r="D7" i="6"/>
  <c r="E7" i="6" s="1"/>
  <c r="E13" i="5"/>
  <c r="D13" i="5"/>
  <c r="C7" i="6"/>
  <c r="C13" i="5"/>
  <c r="B7" i="6"/>
  <c r="D18" i="2"/>
  <c r="E12" i="5"/>
  <c r="E14" i="5"/>
  <c r="C18" i="2"/>
  <c r="D12" i="5"/>
  <c r="D14" i="5"/>
  <c r="B18" i="2"/>
  <c r="C12" i="5"/>
  <c r="C14" i="5"/>
  <c r="D22" i="2" l="1"/>
  <c r="E6" i="5"/>
  <c r="E8" i="5"/>
  <c r="D6" i="6"/>
  <c r="E11" i="5"/>
  <c r="C20" i="6"/>
  <c r="C22" i="2"/>
  <c r="D6" i="5"/>
  <c r="D8" i="5"/>
  <c r="D11" i="5"/>
  <c r="C6" i="6"/>
  <c r="C19" i="6"/>
  <c r="C8" i="5"/>
  <c r="C11" i="5"/>
  <c r="B6" i="6"/>
  <c r="C18" i="6"/>
  <c r="E6" i="6" l="1"/>
</calcChain>
</file>

<file path=xl/sharedStrings.xml><?xml version="1.0" encoding="utf-8"?>
<sst xmlns="http://schemas.openxmlformats.org/spreadsheetml/2006/main" count="168" uniqueCount="145">
  <si>
    <t>Titan Company Limited</t>
  </si>
  <si>
    <t>Financial Statement Analysis — FY2023 to FY2025</t>
  </si>
  <si>
    <t>Data Source: Titan Company Limited — Standalone Audited Financial Statements</t>
  </si>
  <si>
    <t>Annual Reports used: FY2022-23, FY2023-24, FY2024-25 (as published on titancompany.in / BSE-NSE filings)</t>
  </si>
  <si>
    <t>Figures: ₹ in Crore, unless stated otherwise. Standalone financials used throughout (not consolidated).</t>
  </si>
  <si>
    <t>Contents</t>
  </si>
  <si>
    <t>1. Income Statement Summary</t>
  </si>
  <si>
    <t>2. Balance Sheet Summary</t>
  </si>
  <si>
    <t>3. Cash Flow Summary</t>
  </si>
  <si>
    <t>4. Ratio Analysis</t>
  </si>
  <si>
    <t>5. Trend Analysis</t>
  </si>
  <si>
    <t>6. Observations</t>
  </si>
  <si>
    <t>Standalone Income Statement Summary</t>
  </si>
  <si>
    <t>Particulars</t>
  </si>
  <si>
    <t>FY2023</t>
  </si>
  <si>
    <t>FY2024</t>
  </si>
  <si>
    <t>FY2025</t>
  </si>
  <si>
    <t>Revenue from Operations</t>
  </si>
  <si>
    <t>Other Income</t>
  </si>
  <si>
    <t>Total Income</t>
  </si>
  <si>
    <t>Cost of Raw Materials &amp; Components Consumed</t>
  </si>
  <si>
    <t>Purchase of Stock-in-Trade</t>
  </si>
  <si>
    <t>Changes in Inventories (Fin. Goods/Stock/WIP)</t>
  </si>
  <si>
    <t>Employee Benefits Expense</t>
  </si>
  <si>
    <t>Finance Costs</t>
  </si>
  <si>
    <t>Depreciation &amp; Amortisation Expense</t>
  </si>
  <si>
    <t>Other Expenses</t>
  </si>
  <si>
    <t>Total Expenses</t>
  </si>
  <si>
    <t>Profit Before Tax (PBT)</t>
  </si>
  <si>
    <t>Total Tax Expense</t>
  </si>
  <si>
    <t>Profit for the Year (PAT)</t>
  </si>
  <si>
    <t>Basic EPS (₹)</t>
  </si>
  <si>
    <t>Revenue Growth % (YoY)</t>
  </si>
  <si>
    <t>-</t>
  </si>
  <si>
    <t>Net Profit Growth % (YoY)</t>
  </si>
  <si>
    <t>Standalone Balance Sheet Summary</t>
  </si>
  <si>
    <t>ASSETS</t>
  </si>
  <si>
    <t>Non-current Assets (total)</t>
  </si>
  <si>
    <t>Current Assets (total)</t>
  </si>
  <si>
    <t>of which: Inventories</t>
  </si>
  <si>
    <t>of which: Trade Receivables</t>
  </si>
  <si>
    <t>of which: Cash &amp; Cash Equivalents</t>
  </si>
  <si>
    <t>TOTAL ASSETS</t>
  </si>
  <si>
    <t>EQUITY &amp; LIABILITIES</t>
  </si>
  <si>
    <t>Equity Share Capital</t>
  </si>
  <si>
    <t>Other Equity</t>
  </si>
  <si>
    <t>TOTAL EQUITY</t>
  </si>
  <si>
    <t>Non-current Liabilities (total)</t>
  </si>
  <si>
    <t>of which: Lease Liabilities (NC)</t>
  </si>
  <si>
    <t>of which: Borrowings (NC)</t>
  </si>
  <si>
    <t>Current Liabilities (total)</t>
  </si>
  <si>
    <t>of which: Borrowings (Current)</t>
  </si>
  <si>
    <t>of which: Gold on Loan</t>
  </si>
  <si>
    <t>of which: Trade Payables</t>
  </si>
  <si>
    <t>TOTAL EQUITY AND LIABILITIES</t>
  </si>
  <si>
    <t>Check (Total Assets = Total Equity &amp; Liabilities)</t>
  </si>
  <si>
    <t>Standalone Cash Flow Summary</t>
  </si>
  <si>
    <t>Net Cash from Operating Activities</t>
  </si>
  <si>
    <t>Net Cash from Investing Activities</t>
  </si>
  <si>
    <t>Net Cash from Financing Activities</t>
  </si>
  <si>
    <t>Net Increase / (Decrease) in Cash</t>
  </si>
  <si>
    <t>Cash &amp; Cash Equivalents — Opening Balance</t>
  </si>
  <si>
    <t>Cash &amp; Cash Equivalents — Closing Balance</t>
  </si>
  <si>
    <t>Ratio Analysis</t>
  </si>
  <si>
    <t>Ratio</t>
  </si>
  <si>
    <t>Formula</t>
  </si>
  <si>
    <t>Interpretation</t>
  </si>
  <si>
    <t>Revenue Growth %</t>
  </si>
  <si>
    <t>(Current Yr Revenue − Prior Yr Revenue) / Prior Yr Revenue</t>
  </si>
  <si>
    <t>Measures how fast sales are growing year-on-year. Titan's revenue growth slowed from 23.1% in FY24 to 16.4% in FY25 — still healthy double-digit growth, but the pace is moderating.</t>
  </si>
  <si>
    <t>Net Profit Growth %</t>
  </si>
  <si>
    <t>(Current Yr PAT − Prior Yr PAT) / Prior Yr PAT</t>
  </si>
  <si>
    <t>Measures how fast bottom-line profit is growing. Unlike revenue, PAT actually declined slightly in FY25, showing profit is not keeping pace with sales growth.</t>
  </si>
  <si>
    <t>Gross Profit Margin %</t>
  </si>
  <si>
    <t>(Revenue − Cost of Materials − Purchases + Inventory Change) / Revenue</t>
  </si>
  <si>
    <t>Approximate gross margin (Revenue less material/trade cost of goods sold). Titan's gross margin has been declining (24.1% → 21.6% → 20.2%) mainly due to a higher mix of lower-margin studded/plain gold jewellery and rising gold prices.</t>
  </si>
  <si>
    <t>Net Profit Margin %</t>
  </si>
  <si>
    <t>Profit for the Year (PAT) / Revenue from Operations</t>
  </si>
  <si>
    <t>Shows how much of every rupee of sales becomes final profit. This has steadily declined from 8.7% to 6.1%, meaning Titan is growing sales but keeping a smaller slice as profit each year.</t>
  </si>
  <si>
    <t>Current Ratio</t>
  </si>
  <si>
    <t>Current Assets / Current Liabilities</t>
  </si>
  <si>
    <t>Checks whether the company can pay its short-term bills using short-term assets. A ratio above 1x is generally healthy. Titan's ratio has fallen from 1.80x to 1.41x as current liabilities (borrowings, gold on loan) grew faster than current assets.</t>
  </si>
  <si>
    <t>Debt to Equity Ratio</t>
  </si>
  <si>
    <t>Total Borrowings (Non-current + Current) / Total Equity</t>
  </si>
  <si>
    <t>Shows how much debt the company uses versus shareholders' own money. Titan's D/E has risen from 0.10x to 0.47x — still a conservative, low-debt level, but the trend shows increasing reliance on borrowings to fund growth. (Gold on loan is excluded here as it is working-capital financing, not conventional debt — see note below.)</t>
  </si>
  <si>
    <t>Return on Equity (ROE) %</t>
  </si>
  <si>
    <t>Profit for the Year (PAT) / Total Equity (year-end)</t>
  </si>
  <si>
    <t>Measures the return generated for shareholders on their invested equity. ROE has declined from 27.8% to 19.8%. Still a strong return, but equity has grown faster (through retained profits) than profit itself, diluting the return.</t>
  </si>
  <si>
    <t>Return on Capital Employed (ROCE) %</t>
  </si>
  <si>
    <t>EBIT (PBT + Finance Costs) / Capital Employed (Total Equity + Non-current Liabilities), year-end</t>
  </si>
  <si>
    <t>Measures overall efficiency of using all long-term capital (equity + long-term debt) to generate operating profit. ROCE dipped in FY24 (large one-off jump in capital employed due to Ind AS 116 lease additions and long-term borrowings) then partly recovered in FY25.</t>
  </si>
  <si>
    <t>Asset Turnover Ratio</t>
  </si>
  <si>
    <t>Revenue from Operations / Total Assets (year-end)</t>
  </si>
  <si>
    <t>Shows how efficiently the company's total assets are being used to generate sales. Titan's turnover has slipped from 1.53x to 1.34x, because inventories (assets) have grown faster than revenue — largely due to gold price inflation and new store stocking.</t>
  </si>
  <si>
    <t>Interest Coverage Ratio</t>
  </si>
  <si>
    <t>EBIT (PBT + Finance Costs) / Finance Costs</t>
  </si>
  <si>
    <t>Shows how comfortably the company can pay interest on its borrowings from operating profit. Coverage has fallen from a very high 19.6x to 6.8x as both borrowings and finance costs rose sharply — still a safe level, but the cushion is thinner than before.</t>
  </si>
  <si>
    <t>Trend Analysis (FY2023 – FY2025)</t>
  </si>
  <si>
    <t>Metric</t>
  </si>
  <si>
    <t>3-Yr CAGR %</t>
  </si>
  <si>
    <t>What the Trend Indicates</t>
  </si>
  <si>
    <t>Revenue nearly doubled over 3 years (₹38,270 cr → ₹54,842 cr), a ~19.8% CAGR, driven by store network expansion, wedding/festive jewellery demand, and higher gold prices lifting ticket sizes.</t>
  </si>
  <si>
    <t>Profit growth has NOT kept pace with revenue — it grew in FY24 but slipped in FY25. This signals margin pressure: costs (materials, employee, finance) are rising faster than sales.</t>
  </si>
  <si>
    <t>Total Assets</t>
  </si>
  <si>
    <t>Total assets grew ~63% over 3 years, mainly on the back of a large build-up of inventory (gold and jewellery stock) needed to support store expansion and higher gold prices.</t>
  </si>
  <si>
    <t>Total Liabilities (Non-current + Current)</t>
  </si>
  <si>
    <t>Liabilities have grown even faster than assets in percentage terms, largely through higher short-term borrowings and gold-on-loan funding used to finance the inventory build-up.</t>
  </si>
  <si>
    <t>Total Equity</t>
  </si>
  <si>
    <t>Equity has grown steadily through retained profits (reserves), with no fresh equity issuance and only modest dividend payouts. A healthy sign of internal capital generation.</t>
  </si>
  <si>
    <t>Total Borrowings (Non-current + Current)</t>
  </si>
  <si>
    <t>Borrowings have risen sharply (~6.6x over 2 years) as Titan increasingly used debt to fund working capital, alongside gold on loan. Debt levels remain modest relative to equity, but the pace of increase is notable.</t>
  </si>
  <si>
    <t>Gold on Loan</t>
  </si>
  <si>
    <t>Gold on loan (a jewellery-sector-specific working capital tool) dipped in FY24 but rose sharply in FY25 as Titan expanded inventory to meet demand and hedge against further gold price rises.</t>
  </si>
  <si>
    <t>Inventories</t>
  </si>
  <si>
    <t>Inventory grew ~64% over 3 years, well ahead of revenue growth — a mix of business expansion (new stores) and gold price inflation increasing the value of stock held.</t>
  </si>
  <si>
    <t>n/a</t>
  </si>
  <si>
    <t>Operating cash flow weakened significantly and turned negative in FY25, despite strong reported profit — because a large amount of cash got tied up funding the inventory build-up (a classic 'profitable but cash-tight' pattern in growing retail businesses).</t>
  </si>
  <si>
    <t>Chart Data (₹ crore)</t>
  </si>
  <si>
    <t>Year</t>
  </si>
  <si>
    <t>Revenue</t>
  </si>
  <si>
    <t>PAT</t>
  </si>
  <si>
    <t>Business Observations</t>
  </si>
  <si>
    <t>1. Revenue</t>
  </si>
  <si>
    <t>•  Revenue from operations grew from ₹38,270 cr (FY23) to ₹47,114 cr (FY24) to ₹54,842 cr (FY25) — a strong ~19.8% CAGR — driven by continued store network expansion (Tanishq, Mia, CaratLane formats), robust wedding and festive jewellery demand, and a sharp rise in gold prices that increased average transaction value.</t>
  </si>
  <si>
    <t>•  Growth momentum slowed from 23.1% in FY24 to 16.4% in FY25. This is consistent with a maturing high-growth phase and a high FY24 base, rather than a sign of demand weakness — Titan's revenue is still growing well ahead of typical retail/FMCG peers.</t>
  </si>
  <si>
    <t>2. Profitability</t>
  </si>
  <si>
    <t>•  Net profit grew modestly from ₹3,333 cr (FY23) to ₹3,544 cr (FY24), but then fell to ₹3,335 cr in FY25 — a decline despite record revenue. This is because costs grew faster than sales: cost of raw materials (mainly gold) rose from 65.5% to 80.1% of revenue over the period, squeezing gross margins from 24.1% to 20.2%.</t>
  </si>
  <si>
    <t>•  Net profit margin has fallen steadily from 8.7% (FY23) to 7.5% (FY24) to 6.1% (FY25). Rising finance costs (₹240 cr → ₹767 cr, a 3.2x increase) from higher short-term borrowings used to fund inventory have added further pressure on the bottom line.</t>
  </si>
  <si>
    <t>•  Profitability improved in absolute terms because of higher volumes and a growing store base, but margin compression shows the business is increasingly sensitive to gold price movements and the cost of funding its own inventory.</t>
  </si>
  <si>
    <t>3. Debt Position</t>
  </si>
  <si>
    <t>•  Total borrowings (excluding gold on loan) rose sharply from ₹1,190 cr (FY23) to ₹5,809 cr (FY24) to ₹7,903 cr (FY25). The Debt-to-Equity ratio moved from a very conservative 0.10x to 0.47x — the balance sheet is still low-risk by industry standards, but the company is clearly leaning more on borrowed funds than three years ago.</t>
  </si>
  <si>
    <t>•  The rise in debt in FY24 included a one-time long-term borrowing of ₹3,139 cr, which was mostly repaid in FY25 (down to ₹420 cr) and replaced with more short-term borrowings (₹7,483 cr) — a shift towards funding working capital with short-term debt rather than long-term debt.</t>
  </si>
  <si>
    <t>•  Debt position has not remained flat — it has grown meaningfully — but interest coverage (6.8x in FY25) confirms Titan can still comfortably service this debt from operating profit, even though the safety cushion is thinner than the 19.6x seen in FY23.</t>
  </si>
  <si>
    <t>4. Cash Flow</t>
  </si>
  <si>
    <t>•  Operating cash flow weakened significantly, from a healthy +₹1,810 cr (FY23) and +₹2,030 cr (FY24) to a negative ₹(170) cr in FY25 — despite Titan reporting its second-highest ever profit. This is the single most important red flag in the three-year trend.</t>
  </si>
  <si>
    <t>•  The cause is clear from the cash flow statement: a ₹7,643 cr increase in inventories in FY25 alone (versus ₹1,922 cr in FY24) consumed far more cash than the business generated from operations, as Titan built up gold and jewellery stock to support new stores and hedge against further price rises.</t>
  </si>
  <si>
    <t>•  Cash flow did not 'strengthen' in FY25 — it weakened on an operating basis. Financing activities (mainly short-term borrowings) had to plug the gap. This is a classic pattern for fast-growing, inventory-heavy retail businesses but is worth monitoring closely if it continues into FY26.</t>
  </si>
  <si>
    <t>5. Working Capital &amp; Inventory</t>
  </si>
  <si>
    <t>•  Working capital (current assets − current liabilities) actually declined in ratio terms — the current ratio fell from 1.80x to 1.41x over three years — because current liabilities (short-term borrowings and gold on loan) grew faster than current assets.</t>
  </si>
  <si>
    <t>•  Inventory levels rose sharply — from ₹14,952 cr (FY23) to ₹16,874 cr (FY24) to ₹24,517 cr (FY25), a jump of ₹7,643 cr in FY25 alone. This reflects both a genuine expansion in stock-in-trade (new stores, wider product range) and the effect of rising gold prices increasing the rupee value of existing inventory.</t>
  </si>
  <si>
    <t>•  Trade receivables have grown only modestly (₹908 cr → ₹937 cr → ₹984 cr), staying broadly stable as a % of revenue — showing Titan's largely cash-and-card retail model, unlike wholesale-driven businesses, does not carry high receivables risk.</t>
  </si>
  <si>
    <t>6. Equity &amp; Shareholder Returns</t>
  </si>
  <si>
    <t>•  Total equity grew steadily from ₹11,994 cr to ₹14,457 cr to ₹16,811 cr, funded entirely by retained profits (no fresh equity issuance) — a sign of a self-funding, profitable core business even as margins came under pressure.</t>
  </si>
  <si>
    <t>•  Return on Equity fell from 27.8% to 19.8% over three years. This is not because the business became less profitable in absolute terms, but because equity (the denominator) has grown faster than profit (the numerator) — a natural effect of a company that retains most of its earnings.</t>
  </si>
  <si>
    <t>Prepared by: Akriti Tripathi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</si>
</sst>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quot;₹(&quot;#,##0\);\-"/>
    <numFmt numFmtId="166" formatCode="0.0%;\(0.0%\);\-"/>
    <numFmt numFmtId="167" formatCode="0.00\x"/>
  </numFmts>
  <fonts count="8" x14ac:knownFonts="1">
    <font>
      <sz val="11"/>
      <color theme="1"/>
      <name val="Calibri"/>
      <family val="2"/>
      <charset val="1"/>
    </font>
    <font>
      <b/>
      <sz val="14"/>
      <color rgb="FF1F3864"/>
      <name val="Arial"/>
      <charset val="1"/>
    </font>
    <font>
      <i/>
      <sz val="10"/>
      <color rgb="FF595959"/>
      <name val="Arial"/>
      <charset val="1"/>
    </font>
    <font>
      <sz val="11"/>
      <name val="Arial"/>
      <charset val="1"/>
    </font>
    <font>
      <b/>
      <sz val="11"/>
      <name val="Arial"/>
      <charset val="1"/>
    </font>
    <font>
      <i/>
      <sz val="9"/>
      <color rgb="FF7F7F7F"/>
      <name val="Arial"/>
      <charset val="1"/>
    </font>
    <font>
      <b/>
      <sz val="11"/>
      <color rgb="FFFFFFFF"/>
      <name val="Arial"/>
      <charset val="1"/>
    </font>
    <font>
      <sz val="10"/>
      <name val="Arial"/>
      <charset val="1"/>
    </font>
  </fonts>
  <fills count="5">
    <fill>
      <patternFill patternType="none"/>
    </fill>
    <fill>
      <patternFill patternType="gray125"/>
    </fill>
    <fill>
      <patternFill patternType="solid">
        <fgColor rgb="FF1F3864"/>
        <bgColor rgb="FF333333"/>
      </patternFill>
    </fill>
    <fill>
      <patternFill patternType="solid">
        <fgColor rgb="FFDCE6F1"/>
        <bgColor rgb="FFD9D9D9"/>
      </patternFill>
    </fill>
    <fill>
      <patternFill patternType="solid">
        <fgColor rgb="FF4472C4"/>
        <bgColor rgb="FF4F81B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3" fillId="0" borderId="1" xfId="0" applyFont="1" applyBorder="1" applyAlignment="1">
      <alignment vertical="top" wrapText="1"/>
    </xf>
    <xf numFmtId="0" fontId="6" fillId="4" borderId="1" xfId="0" applyFont="1" applyFill="1" applyBorder="1"/>
    <xf numFmtId="0" fontId="5" fillId="0" borderId="0" xfId="0" applyFont="1"/>
    <xf numFmtId="0" fontId="5" fillId="0" borderId="0" xfId="0" applyFont="1" applyAlignment="1">
      <alignment wrapText="1"/>
    </xf>
    <xf numFmtId="0" fontId="1" fillId="0" borderId="0" xfId="0" applyFont="1"/>
    <xf numFmtId="0" fontId="2" fillId="0" borderId="0" xfId="0" applyFont="1"/>
    <xf numFmtId="0" fontId="3" fillId="0" borderId="0" xfId="0" applyFont="1"/>
    <xf numFmtId="0" fontId="4" fillId="0" borderId="0" xfId="0" applyFont="1"/>
    <xf numFmtId="0" fontId="6" fillId="2" borderId="1" xfId="0" applyFont="1" applyFill="1" applyBorder="1" applyAlignment="1">
      <alignment horizontal="center" vertical="center"/>
    </xf>
    <xf numFmtId="0" fontId="3" fillId="0" borderId="1" xfId="0" applyFont="1" applyBorder="1" applyAlignment="1">
      <alignment horizontal="left"/>
    </xf>
    <xf numFmtId="164" fontId="3" fillId="0" borderId="1" xfId="0" applyNumberFormat="1" applyFont="1" applyBorder="1" applyAlignment="1">
      <alignment horizontal="right"/>
    </xf>
    <xf numFmtId="0" fontId="4" fillId="0" borderId="1" xfId="0" applyFont="1" applyBorder="1" applyAlignment="1">
      <alignment horizontal="left"/>
    </xf>
    <xf numFmtId="164" fontId="4" fillId="3" borderId="1" xfId="0" applyNumberFormat="1" applyFont="1" applyFill="1" applyBorder="1"/>
    <xf numFmtId="165" fontId="3" fillId="0" borderId="1" xfId="0" applyNumberFormat="1" applyFont="1" applyBorder="1" applyAlignment="1">
      <alignment horizontal="right"/>
    </xf>
    <xf numFmtId="0" fontId="3" fillId="0" borderId="1" xfId="0" applyFont="1" applyBorder="1"/>
    <xf numFmtId="166" fontId="3" fillId="0" borderId="1" xfId="0" applyNumberFormat="1" applyFont="1" applyBorder="1"/>
    <xf numFmtId="0" fontId="6" fillId="4" borderId="1" xfId="0" applyFont="1" applyFill="1" applyBorder="1"/>
    <xf numFmtId="0" fontId="3" fillId="0" borderId="1" xfId="0" applyFont="1" applyBorder="1" applyAlignment="1">
      <alignment horizontal="left" indent="1"/>
    </xf>
    <xf numFmtId="0" fontId="5" fillId="0" borderId="1" xfId="0" applyFont="1" applyBorder="1" applyAlignment="1">
      <alignment horizontal="left"/>
    </xf>
    <xf numFmtId="164" fontId="5" fillId="0" borderId="1" xfId="0" applyNumberFormat="1" applyFont="1" applyBorder="1"/>
    <xf numFmtId="0" fontId="6" fillId="2" borderId="1" xfId="0" applyFont="1" applyFill="1" applyBorder="1" applyAlignment="1">
      <alignment horizontal="center" vertical="center" wrapText="1"/>
    </xf>
    <xf numFmtId="0" fontId="4" fillId="0" borderId="1" xfId="0" applyFont="1" applyBorder="1" applyAlignment="1">
      <alignment horizontal="left" vertical="top"/>
    </xf>
    <xf numFmtId="0" fontId="7" fillId="0" borderId="1" xfId="0" applyFont="1" applyBorder="1" applyAlignment="1">
      <alignment horizontal="left" vertical="top" wrapText="1"/>
    </xf>
    <xf numFmtId="166" fontId="3" fillId="0" borderId="1" xfId="0" applyNumberFormat="1" applyFont="1" applyBorder="1" applyAlignment="1">
      <alignment horizontal="right"/>
    </xf>
    <xf numFmtId="167" fontId="3" fillId="0" borderId="1" xfId="0" applyNumberFormat="1" applyFont="1" applyBorder="1" applyAlignment="1">
      <alignment horizontal="right"/>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C0504D"/>
      <rgbColor rgb="FFFFFF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878787"/>
      <rgbColor rgb="FF1F3864"/>
      <rgbColor rgb="FF4F81BD"/>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vs. Net Profit (₹ crore)</a:t>
            </a:r>
          </a:p>
        </c:rich>
      </c:tx>
      <c:overlay val="0"/>
      <c:spPr>
        <a:noFill/>
        <a:ln w="0">
          <a:noFill/>
        </a:ln>
      </c:spPr>
    </c:title>
    <c:autoTitleDeleted val="0"/>
    <c:plotArea>
      <c:layout/>
      <c:barChart>
        <c:barDir val="col"/>
        <c:grouping val="clustered"/>
        <c:varyColors val="0"/>
        <c:ser>
          <c:idx val="0"/>
          <c:order val="0"/>
          <c:tx>
            <c:strRef>
              <c:f>'Trend Analysis'!$B$17</c:f>
              <c:strCache>
                <c:ptCount val="1"/>
                <c:pt idx="0">
                  <c:v>Revenue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'Trend Analysis'!$A$18:$A$20</c:f>
              <c:strCache>
                <c:ptCount val="3"/>
                <c:pt idx="0">
                  <c:v>FY2023</c:v>
                </c:pt>
                <c:pt idx="1">
                  <c:v>FY2024</c:v>
                </c:pt>
                <c:pt idx="2">
                  <c:v>FY2025</c:v>
                </c:pt>
              </c:strCache>
            </c:strRef>
          </c:cat>
          <c:val>
            <c:numRef>
              <c:f>'Trend Analysis'!$B$18:$B$20</c:f>
              <c:numCache>
                <c:formatCode>#,##0;\(#,##0\);\-</c:formatCode>
                <c:ptCount val="3"/>
                <c:pt idx="0">
                  <c:v>38270</c:v>
                </c:pt>
                <c:pt idx="1">
                  <c:v>47114</c:v>
                </c:pt>
                <c:pt idx="2">
                  <c:v>54842</c:v>
                </c:pt>
              </c:numCache>
            </c:numRef>
          </c:val>
          <c:extLst>
            <c:ext xmlns:c16="http://schemas.microsoft.com/office/drawing/2014/chart" uri="{C3380CC4-5D6E-409C-BE32-E72D297353CC}">
              <c16:uniqueId val="{00000000-022A-42F2-BE4A-A9038CD7AF21}"/>
            </c:ext>
          </c:extLst>
        </c:ser>
        <c:ser>
          <c:idx val="1"/>
          <c:order val="1"/>
          <c:tx>
            <c:strRef>
              <c:f>'Trend Analysis'!$C$17</c:f>
              <c:strCache>
                <c:ptCount val="1"/>
                <c:pt idx="0">
                  <c:v>PAT</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'Trend Analysis'!$A$18:$A$20</c:f>
              <c:strCache>
                <c:ptCount val="3"/>
                <c:pt idx="0">
                  <c:v>FY2023</c:v>
                </c:pt>
                <c:pt idx="1">
                  <c:v>FY2024</c:v>
                </c:pt>
                <c:pt idx="2">
                  <c:v>FY2025</c:v>
                </c:pt>
              </c:strCache>
            </c:strRef>
          </c:cat>
          <c:val>
            <c:numRef>
              <c:f>'Trend Analysis'!$C$18:$C$20</c:f>
              <c:numCache>
                <c:formatCode>#,##0;\(#,##0\);\-</c:formatCode>
                <c:ptCount val="3"/>
                <c:pt idx="0">
                  <c:v>3333</c:v>
                </c:pt>
                <c:pt idx="1">
                  <c:v>3544</c:v>
                </c:pt>
                <c:pt idx="2">
                  <c:v>3335</c:v>
                </c:pt>
              </c:numCache>
            </c:numRef>
          </c:val>
          <c:extLst>
            <c:ext xmlns:c16="http://schemas.microsoft.com/office/drawing/2014/chart" uri="{C3380CC4-5D6E-409C-BE32-E72D297353CC}">
              <c16:uniqueId val="{00000001-022A-42F2-BE4A-A9038CD7AF21}"/>
            </c:ext>
          </c:extLst>
        </c:ser>
        <c:dLbls>
          <c:showLegendKey val="0"/>
          <c:showVal val="0"/>
          <c:showCatName val="0"/>
          <c:showSerName val="0"/>
          <c:showPercent val="0"/>
          <c:showBubbleSize val="0"/>
        </c:dLbls>
        <c:gapWidth val="150"/>
        <c:axId val="8241285"/>
        <c:axId val="25983447"/>
      </c:barChart>
      <c:catAx>
        <c:axId val="8241285"/>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5983447"/>
        <c:crosses val="autoZero"/>
        <c:auto val="1"/>
        <c:lblAlgn val="ctr"/>
        <c:lblOffset val="100"/>
        <c:noMultiLvlLbl val="0"/>
      </c:catAx>
      <c:valAx>
        <c:axId val="2598344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 crore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4128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160560</xdr:rowOff>
    </xdr:from>
    <xdr:to>
      <xdr:col>4</xdr:col>
      <xdr:colOff>486435</xdr:colOff>
      <xdr:row>38</xdr:row>
      <xdr:rowOff>161640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7"/>
  <sheetViews>
    <sheetView showGridLines="0" tabSelected="1" zoomScaleNormal="100" workbookViewId="0">
      <selection activeCell="C14" sqref="C14"/>
    </sheetView>
  </sheetViews>
  <sheetFormatPr defaultColWidth="8.7109375" defaultRowHeight="15" x14ac:dyDescent="0.25"/>
  <cols>
    <col min="1" max="1" width="4" customWidth="1"/>
    <col min="2" max="4" width="40" customWidth="1"/>
  </cols>
  <sheetData>
    <row r="2" spans="2:2" ht="18" x14ac:dyDescent="0.25">
      <c r="B2" s="5" t="s">
        <v>0</v>
      </c>
    </row>
    <row r="3" spans="2:2" x14ac:dyDescent="0.25">
      <c r="B3" s="6" t="s">
        <v>1</v>
      </c>
    </row>
    <row r="4" spans="2:2" x14ac:dyDescent="0.25">
      <c r="B4" s="7" t="s">
        <v>144</v>
      </c>
    </row>
    <row r="5" spans="2:2" x14ac:dyDescent="0.25">
      <c r="B5" s="7" t="s">
        <v>2</v>
      </c>
    </row>
    <row r="6" spans="2:2" x14ac:dyDescent="0.25">
      <c r="B6" s="7" t="s">
        <v>3</v>
      </c>
    </row>
    <row r="7" spans="2:2" x14ac:dyDescent="0.25">
      <c r="B7" s="7" t="s">
        <v>4</v>
      </c>
    </row>
    <row r="9" spans="2:2" x14ac:dyDescent="0.25">
      <c r="B9" s="8" t="s">
        <v>5</v>
      </c>
    </row>
    <row r="10" spans="2:2" x14ac:dyDescent="0.25">
      <c r="B10" s="7" t="s">
        <v>6</v>
      </c>
    </row>
    <row r="11" spans="2:2" x14ac:dyDescent="0.25">
      <c r="B11" s="7" t="s">
        <v>7</v>
      </c>
    </row>
    <row r="12" spans="2:2" x14ac:dyDescent="0.25">
      <c r="B12" s="7" t="s">
        <v>8</v>
      </c>
    </row>
    <row r="13" spans="2:2" x14ac:dyDescent="0.25">
      <c r="B13" s="7" t="s">
        <v>9</v>
      </c>
    </row>
    <row r="14" spans="2:2" x14ac:dyDescent="0.25">
      <c r="B14" s="7" t="s">
        <v>10</v>
      </c>
    </row>
    <row r="15" spans="2:2" x14ac:dyDescent="0.25">
      <c r="B15" s="7" t="s">
        <v>11</v>
      </c>
    </row>
    <row r="17" spans="2:4" ht="45" customHeight="1" x14ac:dyDescent="0.25">
      <c r="B17" s="4"/>
      <c r="C17" s="4"/>
      <c r="D17" s="4"/>
    </row>
  </sheetData>
  <mergeCells count="1">
    <mergeCell ref="B17:D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showGridLines="0" zoomScaleNormal="100" workbookViewId="0">
      <selection activeCell="A23" sqref="A23"/>
    </sheetView>
  </sheetViews>
  <sheetFormatPr defaultColWidth="8.7109375" defaultRowHeight="15" x14ac:dyDescent="0.25"/>
  <cols>
    <col min="1" max="1" width="42" customWidth="1"/>
    <col min="2" max="4" width="16" customWidth="1"/>
    <col min="5" max="5" width="4" customWidth="1"/>
    <col min="6" max="6" width="40" customWidth="1"/>
  </cols>
  <sheetData>
    <row r="1" spans="1:4" ht="18" x14ac:dyDescent="0.25">
      <c r="A1" s="5" t="s">
        <v>12</v>
      </c>
    </row>
    <row r="2" spans="1:4" x14ac:dyDescent="0.25">
      <c r="A2" s="6"/>
    </row>
    <row r="4" spans="1:4" x14ac:dyDescent="0.25">
      <c r="A4" s="9" t="s">
        <v>13</v>
      </c>
      <c r="B4" s="9" t="s">
        <v>14</v>
      </c>
      <c r="C4" s="9" t="s">
        <v>15</v>
      </c>
      <c r="D4" s="9" t="s">
        <v>16</v>
      </c>
    </row>
    <row r="5" spans="1:4" x14ac:dyDescent="0.25">
      <c r="A5" s="10" t="s">
        <v>17</v>
      </c>
      <c r="B5" s="11">
        <v>38270</v>
      </c>
      <c r="C5" s="11">
        <v>47114</v>
      </c>
      <c r="D5" s="11">
        <v>54842</v>
      </c>
    </row>
    <row r="6" spans="1:4" x14ac:dyDescent="0.25">
      <c r="A6" s="10" t="s">
        <v>18</v>
      </c>
      <c r="B6" s="11">
        <v>299</v>
      </c>
      <c r="C6" s="11">
        <v>510</v>
      </c>
      <c r="D6" s="11">
        <v>493</v>
      </c>
    </row>
    <row r="7" spans="1:4" x14ac:dyDescent="0.25">
      <c r="A7" s="12" t="s">
        <v>19</v>
      </c>
      <c r="B7" s="13">
        <f>B5+B6</f>
        <v>38569</v>
      </c>
      <c r="C7" s="13">
        <f>C5+C6</f>
        <v>47624</v>
      </c>
      <c r="D7" s="13">
        <f>D5+D6</f>
        <v>55335</v>
      </c>
    </row>
    <row r="8" spans="1:4" x14ac:dyDescent="0.25">
      <c r="A8" s="10" t="s">
        <v>20</v>
      </c>
      <c r="B8" s="11">
        <v>25085</v>
      </c>
      <c r="C8" s="11">
        <v>33556</v>
      </c>
      <c r="D8" s="11">
        <v>43905</v>
      </c>
    </row>
    <row r="9" spans="1:4" x14ac:dyDescent="0.25">
      <c r="A9" s="10" t="s">
        <v>21</v>
      </c>
      <c r="B9" s="11">
        <v>5438</v>
      </c>
      <c r="C9" s="11">
        <v>5535</v>
      </c>
      <c r="D9" s="11">
        <v>6372</v>
      </c>
    </row>
    <row r="10" spans="1:4" x14ac:dyDescent="0.25">
      <c r="A10" s="10" t="s">
        <v>22</v>
      </c>
      <c r="B10" s="11">
        <v>-1477</v>
      </c>
      <c r="C10" s="11">
        <v>-2149</v>
      </c>
      <c r="D10" s="11">
        <v>-6537</v>
      </c>
    </row>
    <row r="11" spans="1:4" x14ac:dyDescent="0.25">
      <c r="A11" s="10" t="s">
        <v>23</v>
      </c>
      <c r="B11" s="11">
        <v>1362</v>
      </c>
      <c r="C11" s="11">
        <v>1503</v>
      </c>
      <c r="D11" s="11">
        <v>1717</v>
      </c>
    </row>
    <row r="12" spans="1:4" x14ac:dyDescent="0.25">
      <c r="A12" s="10" t="s">
        <v>24</v>
      </c>
      <c r="B12" s="11">
        <v>240</v>
      </c>
      <c r="C12" s="11">
        <v>480</v>
      </c>
      <c r="D12" s="11">
        <v>767</v>
      </c>
    </row>
    <row r="13" spans="1:4" x14ac:dyDescent="0.25">
      <c r="A13" s="10" t="s">
        <v>25</v>
      </c>
      <c r="B13" s="11">
        <v>364</v>
      </c>
      <c r="C13" s="11">
        <v>447</v>
      </c>
      <c r="D13" s="11">
        <v>537</v>
      </c>
    </row>
    <row r="14" spans="1:4" x14ac:dyDescent="0.25">
      <c r="A14" s="10" t="s">
        <v>26</v>
      </c>
      <c r="B14" s="11">
        <v>3092</v>
      </c>
      <c r="C14" s="11">
        <v>3645</v>
      </c>
      <c r="D14" s="11">
        <v>4093</v>
      </c>
    </row>
    <row r="15" spans="1:4" x14ac:dyDescent="0.25">
      <c r="A15" s="12" t="s">
        <v>27</v>
      </c>
      <c r="B15" s="13">
        <f>SUM(B8:B14)</f>
        <v>34104</v>
      </c>
      <c r="C15" s="13">
        <f>SUM(C8:C14)</f>
        <v>43017</v>
      </c>
      <c r="D15" s="13">
        <f>SUM(D8:D14)</f>
        <v>50854</v>
      </c>
    </row>
    <row r="16" spans="1:4" x14ac:dyDescent="0.25">
      <c r="A16" s="12" t="s">
        <v>28</v>
      </c>
      <c r="B16" s="13">
        <f>B7-B15</f>
        <v>4465</v>
      </c>
      <c r="C16" s="13">
        <f>C7-C15</f>
        <v>4607</v>
      </c>
      <c r="D16" s="13">
        <f>D7-D15</f>
        <v>4481</v>
      </c>
    </row>
    <row r="17" spans="1:6" x14ac:dyDescent="0.25">
      <c r="A17" s="10" t="s">
        <v>29</v>
      </c>
      <c r="B17" s="11">
        <v>1132</v>
      </c>
      <c r="C17" s="11">
        <v>1063</v>
      </c>
      <c r="D17" s="11">
        <v>1146</v>
      </c>
    </row>
    <row r="18" spans="1:6" x14ac:dyDescent="0.25">
      <c r="A18" s="12" t="s">
        <v>30</v>
      </c>
      <c r="B18" s="13">
        <f>B16-B17</f>
        <v>3333</v>
      </c>
      <c r="C18" s="13">
        <f>C16-C17</f>
        <v>3544</v>
      </c>
      <c r="D18" s="13">
        <f>D16-D17</f>
        <v>3335</v>
      </c>
    </row>
    <row r="19" spans="1:6" x14ac:dyDescent="0.25">
      <c r="A19" s="10" t="s">
        <v>31</v>
      </c>
      <c r="B19" s="14">
        <v>37.54</v>
      </c>
      <c r="C19" s="14">
        <v>39.94</v>
      </c>
      <c r="D19" s="14">
        <v>37.6</v>
      </c>
    </row>
    <row r="21" spans="1:6" x14ac:dyDescent="0.25">
      <c r="A21" s="12" t="s">
        <v>32</v>
      </c>
      <c r="B21" s="15" t="s">
        <v>33</v>
      </c>
      <c r="C21" s="16">
        <f>(C5-B5)/B5</f>
        <v>0.23109485236477659</v>
      </c>
      <c r="D21" s="16">
        <f>(D5-C5)/C5</f>
        <v>0.16402767754807487</v>
      </c>
    </row>
    <row r="22" spans="1:6" x14ac:dyDescent="0.25">
      <c r="A22" s="12" t="s">
        <v>34</v>
      </c>
      <c r="B22" s="15" t="s">
        <v>33</v>
      </c>
      <c r="C22" s="16">
        <f>(C18-B18)/B18</f>
        <v>6.3306330633063304E-2</v>
      </c>
      <c r="D22" s="16">
        <f>(D18-C18)/C18</f>
        <v>-5.8972911963882615E-2</v>
      </c>
    </row>
    <row r="24" spans="1:6" x14ac:dyDescent="0.25">
      <c r="A24" s="3"/>
      <c r="B24" s="3"/>
      <c r="C24" s="3"/>
      <c r="D24" s="3"/>
      <c r="E24" s="3"/>
      <c r="F24" s="3"/>
    </row>
  </sheetData>
  <mergeCells count="1">
    <mergeCell ref="A24:F2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showGridLines="0" topLeftCell="A2" zoomScaleNormal="100" workbookViewId="0">
      <selection activeCell="A27" sqref="A27:F27"/>
    </sheetView>
  </sheetViews>
  <sheetFormatPr defaultColWidth="8.7109375" defaultRowHeight="15" x14ac:dyDescent="0.25"/>
  <cols>
    <col min="1" max="1" width="42" customWidth="1"/>
    <col min="2" max="4" width="16" customWidth="1"/>
    <col min="5" max="5" width="4" customWidth="1"/>
    <col min="6" max="6" width="40" customWidth="1"/>
  </cols>
  <sheetData>
    <row r="1" spans="1:4" ht="18" x14ac:dyDescent="0.25">
      <c r="A1" s="5" t="s">
        <v>35</v>
      </c>
    </row>
    <row r="2" spans="1:4" x14ac:dyDescent="0.25">
      <c r="A2" s="6"/>
    </row>
    <row r="4" spans="1:4" x14ac:dyDescent="0.25">
      <c r="A4" s="9" t="s">
        <v>13</v>
      </c>
      <c r="B4" s="9" t="s">
        <v>14</v>
      </c>
      <c r="C4" s="9" t="s">
        <v>15</v>
      </c>
      <c r="D4" s="9" t="s">
        <v>16</v>
      </c>
    </row>
    <row r="5" spans="1:4" x14ac:dyDescent="0.25">
      <c r="A5" s="17" t="s">
        <v>36</v>
      </c>
      <c r="B5" s="17"/>
      <c r="C5" s="17"/>
      <c r="D5" s="17"/>
    </row>
    <row r="6" spans="1:4" x14ac:dyDescent="0.25">
      <c r="A6" s="12" t="s">
        <v>37</v>
      </c>
      <c r="B6" s="11">
        <v>4402</v>
      </c>
      <c r="C6" s="11">
        <v>10169</v>
      </c>
      <c r="D6" s="11">
        <v>10631</v>
      </c>
    </row>
    <row r="7" spans="1:4" x14ac:dyDescent="0.25">
      <c r="A7" s="12" t="s">
        <v>38</v>
      </c>
      <c r="B7" s="11">
        <v>20686</v>
      </c>
      <c r="C7" s="11">
        <v>22693</v>
      </c>
      <c r="D7" s="11">
        <v>30444</v>
      </c>
    </row>
    <row r="8" spans="1:4" x14ac:dyDescent="0.25">
      <c r="A8" s="18" t="s">
        <v>39</v>
      </c>
      <c r="B8" s="11">
        <v>14952</v>
      </c>
      <c r="C8" s="11">
        <v>16874</v>
      </c>
      <c r="D8" s="11">
        <v>24517</v>
      </c>
    </row>
    <row r="9" spans="1:4" x14ac:dyDescent="0.25">
      <c r="A9" s="18" t="s">
        <v>40</v>
      </c>
      <c r="B9" s="11">
        <v>908</v>
      </c>
      <c r="C9" s="11">
        <v>937</v>
      </c>
      <c r="D9" s="11">
        <v>984</v>
      </c>
    </row>
    <row r="10" spans="1:4" x14ac:dyDescent="0.25">
      <c r="A10" s="18" t="s">
        <v>41</v>
      </c>
      <c r="B10" s="11">
        <v>119</v>
      </c>
      <c r="C10" s="11">
        <v>272</v>
      </c>
      <c r="D10" s="11">
        <v>243</v>
      </c>
    </row>
    <row r="11" spans="1:4" x14ac:dyDescent="0.25">
      <c r="A11" s="12" t="s">
        <v>42</v>
      </c>
      <c r="B11" s="13">
        <f>B6+B7</f>
        <v>25088</v>
      </c>
      <c r="C11" s="13">
        <f>C6+C7</f>
        <v>32862</v>
      </c>
      <c r="D11" s="13">
        <f>D6+D7</f>
        <v>41075</v>
      </c>
    </row>
    <row r="13" spans="1:4" x14ac:dyDescent="0.25">
      <c r="A13" s="17" t="s">
        <v>43</v>
      </c>
      <c r="B13" s="17"/>
      <c r="C13" s="17"/>
      <c r="D13" s="17"/>
    </row>
    <row r="14" spans="1:4" x14ac:dyDescent="0.25">
      <c r="A14" s="10" t="s">
        <v>44</v>
      </c>
      <c r="B14" s="11">
        <v>89</v>
      </c>
      <c r="C14" s="11">
        <v>89</v>
      </c>
      <c r="D14" s="11">
        <v>89</v>
      </c>
    </row>
    <row r="15" spans="1:4" x14ac:dyDescent="0.25">
      <c r="A15" s="10" t="s">
        <v>45</v>
      </c>
      <c r="B15" s="11">
        <v>11905</v>
      </c>
      <c r="C15" s="11">
        <v>14368</v>
      </c>
      <c r="D15" s="11">
        <v>16722</v>
      </c>
    </row>
    <row r="16" spans="1:4" x14ac:dyDescent="0.25">
      <c r="A16" s="12" t="s">
        <v>46</v>
      </c>
      <c r="B16" s="13">
        <f>B14+B15</f>
        <v>11994</v>
      </c>
      <c r="C16" s="13">
        <f>C14+C15</f>
        <v>14457</v>
      </c>
      <c r="D16" s="13">
        <f>D14+D15</f>
        <v>16811</v>
      </c>
    </row>
    <row r="17" spans="1:6" x14ac:dyDescent="0.25">
      <c r="A17" s="12" t="s">
        <v>47</v>
      </c>
      <c r="B17" s="11">
        <v>1573</v>
      </c>
      <c r="C17" s="11">
        <v>5043</v>
      </c>
      <c r="D17" s="11">
        <v>2619</v>
      </c>
    </row>
    <row r="18" spans="1:6" x14ac:dyDescent="0.25">
      <c r="A18" s="18" t="s">
        <v>48</v>
      </c>
      <c r="B18" s="11">
        <v>1359</v>
      </c>
      <c r="C18" s="11">
        <v>1666</v>
      </c>
      <c r="D18" s="11">
        <v>1943</v>
      </c>
    </row>
    <row r="19" spans="1:6" x14ac:dyDescent="0.25">
      <c r="A19" s="18" t="s">
        <v>49</v>
      </c>
      <c r="B19" s="11">
        <v>0</v>
      </c>
      <c r="C19" s="11">
        <v>3139</v>
      </c>
      <c r="D19" s="11">
        <v>420</v>
      </c>
    </row>
    <row r="20" spans="1:6" x14ac:dyDescent="0.25">
      <c r="A20" s="12" t="s">
        <v>50</v>
      </c>
      <c r="B20" s="11">
        <v>11521</v>
      </c>
      <c r="C20" s="11">
        <v>13362</v>
      </c>
      <c r="D20" s="11">
        <v>21645</v>
      </c>
    </row>
    <row r="21" spans="1:6" x14ac:dyDescent="0.25">
      <c r="A21" s="18" t="s">
        <v>51</v>
      </c>
      <c r="B21" s="11">
        <v>1190</v>
      </c>
      <c r="C21" s="11">
        <v>2670</v>
      </c>
      <c r="D21" s="11">
        <v>7483</v>
      </c>
    </row>
    <row r="22" spans="1:6" x14ac:dyDescent="0.25">
      <c r="A22" s="18" t="s">
        <v>52</v>
      </c>
      <c r="B22" s="11">
        <v>5090</v>
      </c>
      <c r="C22" s="11">
        <v>4938</v>
      </c>
      <c r="D22" s="11">
        <v>7043</v>
      </c>
    </row>
    <row r="23" spans="1:6" x14ac:dyDescent="0.25">
      <c r="A23" s="18" t="s">
        <v>53</v>
      </c>
      <c r="B23" s="11">
        <v>965</v>
      </c>
      <c r="C23" s="11">
        <v>943</v>
      </c>
      <c r="D23" s="11">
        <v>1472</v>
      </c>
    </row>
    <row r="24" spans="1:6" x14ac:dyDescent="0.25">
      <c r="A24" s="12" t="s">
        <v>54</v>
      </c>
      <c r="B24" s="13">
        <f>B16+B17+B20</f>
        <v>25088</v>
      </c>
      <c r="C24" s="13">
        <f>C16+C17+C20</f>
        <v>32862</v>
      </c>
      <c r="D24" s="13">
        <f>D16+D17+D20</f>
        <v>41075</v>
      </c>
    </row>
    <row r="25" spans="1:6" x14ac:dyDescent="0.25">
      <c r="A25" s="19" t="s">
        <v>55</v>
      </c>
      <c r="B25" s="20">
        <f>B11-B24</f>
        <v>0</v>
      </c>
      <c r="C25" s="20">
        <f>C11-C24</f>
        <v>0</v>
      </c>
      <c r="D25" s="20">
        <f>D11-D24</f>
        <v>0</v>
      </c>
    </row>
    <row r="27" spans="1:6" ht="30" customHeight="1" x14ac:dyDescent="0.25">
      <c r="A27" s="4"/>
      <c r="B27" s="4"/>
      <c r="C27" s="4"/>
      <c r="D27" s="4"/>
      <c r="E27" s="4"/>
      <c r="F27" s="4"/>
    </row>
  </sheetData>
  <mergeCells count="1">
    <mergeCell ref="A27:F2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showGridLines="0" zoomScaleNormal="100" workbookViewId="0">
      <selection activeCell="A12" sqref="A12:F12"/>
    </sheetView>
  </sheetViews>
  <sheetFormatPr defaultColWidth="8.7109375" defaultRowHeight="15" x14ac:dyDescent="0.25"/>
  <cols>
    <col min="1" max="1" width="42" customWidth="1"/>
    <col min="2" max="4" width="16" customWidth="1"/>
    <col min="5" max="5" width="4" customWidth="1"/>
    <col min="6" max="6" width="40" customWidth="1"/>
  </cols>
  <sheetData>
    <row r="1" spans="1:6" ht="18" x14ac:dyDescent="0.25">
      <c r="A1" s="5" t="s">
        <v>56</v>
      </c>
    </row>
    <row r="2" spans="1:6" x14ac:dyDescent="0.25">
      <c r="A2" s="6"/>
    </row>
    <row r="4" spans="1:6" x14ac:dyDescent="0.25">
      <c r="A4" s="9" t="s">
        <v>13</v>
      </c>
      <c r="B4" s="9" t="s">
        <v>14</v>
      </c>
      <c r="C4" s="9" t="s">
        <v>15</v>
      </c>
      <c r="D4" s="9" t="s">
        <v>16</v>
      </c>
    </row>
    <row r="5" spans="1:6" x14ac:dyDescent="0.25">
      <c r="A5" s="10" t="s">
        <v>57</v>
      </c>
      <c r="B5" s="11">
        <v>1810</v>
      </c>
      <c r="C5" s="11">
        <v>2030</v>
      </c>
      <c r="D5" s="11">
        <v>-170</v>
      </c>
    </row>
    <row r="6" spans="1:6" x14ac:dyDescent="0.25">
      <c r="A6" s="10" t="s">
        <v>58</v>
      </c>
      <c r="B6" s="11">
        <v>-1653</v>
      </c>
      <c r="C6" s="11">
        <v>-4634</v>
      </c>
      <c r="D6" s="11">
        <v>140</v>
      </c>
    </row>
    <row r="7" spans="1:6" x14ac:dyDescent="0.25">
      <c r="A7" s="10" t="s">
        <v>59</v>
      </c>
      <c r="B7" s="11">
        <v>-155</v>
      </c>
      <c r="C7" s="11">
        <v>2757</v>
      </c>
      <c r="D7" s="11">
        <v>1</v>
      </c>
    </row>
    <row r="8" spans="1:6" x14ac:dyDescent="0.25">
      <c r="A8" s="12" t="s">
        <v>60</v>
      </c>
      <c r="B8" s="13">
        <f>SUM(B5:B7)</f>
        <v>2</v>
      </c>
      <c r="C8" s="13">
        <f>SUM(C5:C7)</f>
        <v>153</v>
      </c>
      <c r="D8" s="13">
        <f>SUM(D5:D7)</f>
        <v>-29</v>
      </c>
    </row>
    <row r="9" spans="1:6" x14ac:dyDescent="0.25">
      <c r="A9" s="10" t="s">
        <v>61</v>
      </c>
      <c r="B9" s="11">
        <v>117</v>
      </c>
      <c r="C9" s="11">
        <v>119</v>
      </c>
      <c r="D9" s="11">
        <v>272</v>
      </c>
    </row>
    <row r="10" spans="1:6" x14ac:dyDescent="0.25">
      <c r="A10" s="12" t="s">
        <v>62</v>
      </c>
      <c r="B10" s="13">
        <f>B9+B8</f>
        <v>119</v>
      </c>
      <c r="C10" s="13">
        <f>C9+C8</f>
        <v>272</v>
      </c>
      <c r="D10" s="13">
        <f>D9+D8</f>
        <v>243</v>
      </c>
    </row>
    <row r="12" spans="1:6" ht="30" customHeight="1" x14ac:dyDescent="0.25">
      <c r="A12" s="4"/>
      <c r="B12" s="4"/>
      <c r="C12" s="4"/>
      <c r="D12" s="4"/>
      <c r="E12" s="4"/>
      <c r="F12" s="4"/>
    </row>
  </sheetData>
  <mergeCells count="1">
    <mergeCell ref="A12:F1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showGridLines="0" topLeftCell="A7" zoomScaleNormal="100" workbookViewId="0">
      <selection activeCell="A16" sqref="A16:F16"/>
    </sheetView>
  </sheetViews>
  <sheetFormatPr defaultColWidth="8.7109375" defaultRowHeight="15" x14ac:dyDescent="0.25"/>
  <cols>
    <col min="1" max="1" width="40.85546875" bestFit="1" customWidth="1"/>
    <col min="2" max="2" width="38" customWidth="1"/>
    <col min="3" max="5" width="8.28515625" bestFit="1" customWidth="1"/>
    <col min="6" max="6" width="96.85546875" bestFit="1" customWidth="1"/>
  </cols>
  <sheetData>
    <row r="1" spans="1:6" ht="18" x14ac:dyDescent="0.25">
      <c r="A1" s="5" t="s">
        <v>63</v>
      </c>
    </row>
    <row r="2" spans="1:6" x14ac:dyDescent="0.25">
      <c r="A2" s="6"/>
    </row>
    <row r="4" spans="1:6" x14ac:dyDescent="0.25">
      <c r="A4" s="21" t="s">
        <v>64</v>
      </c>
      <c r="B4" s="21" t="s">
        <v>65</v>
      </c>
      <c r="C4" s="21" t="s">
        <v>14</v>
      </c>
      <c r="D4" s="21" t="s">
        <v>15</v>
      </c>
      <c r="E4" s="21" t="s">
        <v>16</v>
      </c>
      <c r="F4" s="21" t="s">
        <v>66</v>
      </c>
    </row>
    <row r="5" spans="1:6" ht="42" customHeight="1" x14ac:dyDescent="0.25">
      <c r="A5" s="22" t="s">
        <v>67</v>
      </c>
      <c r="B5" s="23" t="s">
        <v>68</v>
      </c>
      <c r="C5" s="24" t="s">
        <v>33</v>
      </c>
      <c r="D5" s="24">
        <f>('Income Statement'!C5-'Income Statement'!B5)/'Income Statement'!B5</f>
        <v>0.23109485236477659</v>
      </c>
      <c r="E5" s="24">
        <f>('Income Statement'!D5-'Income Statement'!C5)/'Income Statement'!C5</f>
        <v>0.16402767754807487</v>
      </c>
      <c r="F5" s="23" t="s">
        <v>69</v>
      </c>
    </row>
    <row r="6" spans="1:6" ht="42" customHeight="1" x14ac:dyDescent="0.25">
      <c r="A6" s="22" t="s">
        <v>70</v>
      </c>
      <c r="B6" s="23" t="s">
        <v>71</v>
      </c>
      <c r="C6" s="24" t="s">
        <v>33</v>
      </c>
      <c r="D6" s="24">
        <f>('Income Statement'!C18-'Income Statement'!B18)/'Income Statement'!B18</f>
        <v>6.3306330633063304E-2</v>
      </c>
      <c r="E6" s="24">
        <f>('Income Statement'!D18-'Income Statement'!C18)/'Income Statement'!C18</f>
        <v>-5.8972911963882615E-2</v>
      </c>
      <c r="F6" s="23" t="s">
        <v>72</v>
      </c>
    </row>
    <row r="7" spans="1:6" ht="42" customHeight="1" x14ac:dyDescent="0.25">
      <c r="A7" s="22" t="s">
        <v>73</v>
      </c>
      <c r="B7" s="23" t="s">
        <v>74</v>
      </c>
      <c r="C7" s="24">
        <f>('Income Statement'!B5-'Income Statement'!B8-'Income Statement'!B9-'Income Statement'!B10)/'Income Statement'!B5</f>
        <v>0.24102430101907499</v>
      </c>
      <c r="D7" s="24">
        <f>('Income Statement'!C5-'Income Statement'!C8-'Income Statement'!C9-'Income Statement'!C10)/'Income Statement'!C5</f>
        <v>0.21590185507492465</v>
      </c>
      <c r="E7" s="24">
        <f>('Income Statement'!D5-'Income Statement'!D8-'Income Statement'!D9-'Income Statement'!D10)/'Income Statement'!D5</f>
        <v>0.20243608912876992</v>
      </c>
      <c r="F7" s="23" t="s">
        <v>75</v>
      </c>
    </row>
    <row r="8" spans="1:6" ht="42" customHeight="1" x14ac:dyDescent="0.25">
      <c r="A8" s="22" t="s">
        <v>76</v>
      </c>
      <c r="B8" s="23" t="s">
        <v>77</v>
      </c>
      <c r="C8" s="24">
        <f>'Income Statement'!B18/'Income Statement'!B5</f>
        <v>8.7091716749412074E-2</v>
      </c>
      <c r="D8" s="24">
        <f>'Income Statement'!C18/'Income Statement'!C5</f>
        <v>7.5221802436643032E-2</v>
      </c>
      <c r="E8" s="24">
        <f>'Income Statement'!D18/'Income Statement'!D5</f>
        <v>6.0811057218919808E-2</v>
      </c>
      <c r="F8" s="23" t="s">
        <v>78</v>
      </c>
    </row>
    <row r="9" spans="1:6" ht="42" customHeight="1" x14ac:dyDescent="0.25">
      <c r="A9" s="22" t="s">
        <v>79</v>
      </c>
      <c r="B9" s="23" t="s">
        <v>80</v>
      </c>
      <c r="C9" s="25">
        <f>'Balance Sheet'!B7/'Balance Sheet'!B20</f>
        <v>1.7955038625119348</v>
      </c>
      <c r="D9" s="25">
        <f>'Balance Sheet'!C7/'Balance Sheet'!C20</f>
        <v>1.6983236042508607</v>
      </c>
      <c r="E9" s="25">
        <f>'Balance Sheet'!D7/'Balance Sheet'!D20</f>
        <v>1.4065142065142064</v>
      </c>
      <c r="F9" s="23" t="s">
        <v>81</v>
      </c>
    </row>
    <row r="10" spans="1:6" ht="42" customHeight="1" x14ac:dyDescent="0.25">
      <c r="A10" s="22" t="s">
        <v>82</v>
      </c>
      <c r="B10" s="23" t="s">
        <v>83</v>
      </c>
      <c r="C10" s="25">
        <f>('Balance Sheet'!B19+'Balance Sheet'!B21)/'Balance Sheet'!B16</f>
        <v>9.9216274804068708E-2</v>
      </c>
      <c r="D10" s="25">
        <f>('Balance Sheet'!C19+'Balance Sheet'!C21)/'Balance Sheet'!C16</f>
        <v>0.40181227087224181</v>
      </c>
      <c r="E10" s="25">
        <f>('Balance Sheet'!D19+'Balance Sheet'!D21)/'Balance Sheet'!D16</f>
        <v>0.47010885729581819</v>
      </c>
      <c r="F10" s="23" t="s">
        <v>84</v>
      </c>
    </row>
    <row r="11" spans="1:6" ht="42" customHeight="1" x14ac:dyDescent="0.25">
      <c r="A11" s="22" t="s">
        <v>85</v>
      </c>
      <c r="B11" s="23" t="s">
        <v>86</v>
      </c>
      <c r="C11" s="24">
        <f>'Income Statement'!B18/'Balance Sheet'!B16</f>
        <v>0.27788894447223611</v>
      </c>
      <c r="D11" s="24">
        <f>'Income Statement'!C18/'Balance Sheet'!C16</f>
        <v>0.24514076226049664</v>
      </c>
      <c r="E11" s="24">
        <f>'Income Statement'!D18/'Balance Sheet'!D16</f>
        <v>0.19838201177800249</v>
      </c>
      <c r="F11" s="23" t="s">
        <v>87</v>
      </c>
    </row>
    <row r="12" spans="1:6" ht="48" customHeight="1" x14ac:dyDescent="0.25">
      <c r="A12" s="22" t="s">
        <v>88</v>
      </c>
      <c r="B12" s="23" t="s">
        <v>89</v>
      </c>
      <c r="C12" s="24">
        <f>('Income Statement'!B16+'Income Statement'!B12)/('Balance Sheet'!B16+'Balance Sheet'!B17)</f>
        <v>0.34679737598584803</v>
      </c>
      <c r="D12" s="24">
        <f>('Income Statement'!C16+'Income Statement'!C12)/('Balance Sheet'!C16+'Balance Sheet'!C17)</f>
        <v>0.26087179487179485</v>
      </c>
      <c r="E12" s="24">
        <f>('Income Statement'!D16+'Income Statement'!D12)/('Balance Sheet'!D16+'Balance Sheet'!D17)</f>
        <v>0.2700977869274318</v>
      </c>
      <c r="F12" s="23" t="s">
        <v>90</v>
      </c>
    </row>
    <row r="13" spans="1:6" ht="42" customHeight="1" x14ac:dyDescent="0.25">
      <c r="A13" s="22" t="s">
        <v>91</v>
      </c>
      <c r="B13" s="23" t="s">
        <v>92</v>
      </c>
      <c r="C13" s="25">
        <f>'Income Statement'!B5/'Balance Sheet'!B11</f>
        <v>1.5254304846938775</v>
      </c>
      <c r="D13" s="25">
        <f>'Income Statement'!C5/'Balance Sheet'!C11</f>
        <v>1.4336924106871158</v>
      </c>
      <c r="E13" s="25">
        <f>'Income Statement'!D5/'Balance Sheet'!D11</f>
        <v>1.3351673767498478</v>
      </c>
      <c r="F13" s="23" t="s">
        <v>93</v>
      </c>
    </row>
    <row r="14" spans="1:6" ht="42" customHeight="1" x14ac:dyDescent="0.25">
      <c r="A14" s="22" t="s">
        <v>94</v>
      </c>
      <c r="B14" s="23" t="s">
        <v>95</v>
      </c>
      <c r="C14" s="25">
        <f>('Income Statement'!B16+'Income Statement'!B12)/'Income Statement'!B12</f>
        <v>19.604166666666668</v>
      </c>
      <c r="D14" s="25">
        <f>('Income Statement'!C16+'Income Statement'!C12)/'Income Statement'!C12</f>
        <v>10.597916666666666</v>
      </c>
      <c r="E14" s="25">
        <f>('Income Statement'!D16+'Income Statement'!D12)/'Income Statement'!D12</f>
        <v>6.8422425032594525</v>
      </c>
      <c r="F14" s="23" t="s">
        <v>96</v>
      </c>
    </row>
    <row r="16" spans="1:6" ht="39.75" customHeight="1" x14ac:dyDescent="0.25">
      <c r="A16" s="4"/>
      <c r="B16" s="4"/>
      <c r="C16" s="4"/>
      <c r="D16" s="4"/>
      <c r="E16" s="4"/>
      <c r="F16" s="4"/>
    </row>
  </sheetData>
  <mergeCells count="1">
    <mergeCell ref="A16:F1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showGridLines="0" zoomScaleNormal="100" workbookViewId="0">
      <selection activeCell="A15" sqref="A15:F15"/>
    </sheetView>
  </sheetViews>
  <sheetFormatPr defaultColWidth="8.7109375" defaultRowHeight="15" x14ac:dyDescent="0.25"/>
  <cols>
    <col min="1" max="1" width="47.7109375" bestFit="1" customWidth="1"/>
    <col min="2" max="2" width="10.28515625" bestFit="1" customWidth="1"/>
    <col min="3" max="4" width="8.28515625" bestFit="1" customWidth="1"/>
    <col min="5" max="5" width="14.42578125" bestFit="1" customWidth="1"/>
    <col min="6" max="6" width="75" bestFit="1" customWidth="1"/>
  </cols>
  <sheetData>
    <row r="1" spans="1:6" ht="18" x14ac:dyDescent="0.25">
      <c r="A1" s="5" t="s">
        <v>97</v>
      </c>
    </row>
    <row r="2" spans="1:6" x14ac:dyDescent="0.25">
      <c r="A2" s="6"/>
    </row>
    <row r="4" spans="1:6" x14ac:dyDescent="0.25">
      <c r="A4" s="21" t="s">
        <v>98</v>
      </c>
      <c r="B4" s="21" t="s">
        <v>14</v>
      </c>
      <c r="C4" s="21" t="s">
        <v>15</v>
      </c>
      <c r="D4" s="21" t="s">
        <v>16</v>
      </c>
      <c r="E4" s="21" t="s">
        <v>99</v>
      </c>
      <c r="F4" s="21" t="s">
        <v>100</v>
      </c>
    </row>
    <row r="5" spans="1:6" ht="48" customHeight="1" x14ac:dyDescent="0.25">
      <c r="A5" s="22" t="s">
        <v>17</v>
      </c>
      <c r="B5" s="11">
        <f>'Income Statement'!B5</f>
        <v>38270</v>
      </c>
      <c r="C5" s="11">
        <f>'Income Statement'!C5</f>
        <v>47114</v>
      </c>
      <c r="D5" s="11">
        <f>'Income Statement'!D5</f>
        <v>54842</v>
      </c>
      <c r="E5" s="24">
        <f t="shared" ref="E5:E12" si="0">(D5/B5)^(1/2)-1</f>
        <v>0.19709167645571779</v>
      </c>
      <c r="F5" s="23" t="s">
        <v>101</v>
      </c>
    </row>
    <row r="6" spans="1:6" ht="48" customHeight="1" x14ac:dyDescent="0.25">
      <c r="A6" s="22" t="s">
        <v>30</v>
      </c>
      <c r="B6" s="11">
        <f>'Income Statement'!B18</f>
        <v>3333</v>
      </c>
      <c r="C6" s="11">
        <f>'Income Statement'!C18</f>
        <v>3544</v>
      </c>
      <c r="D6" s="11">
        <f>'Income Statement'!D18</f>
        <v>3335</v>
      </c>
      <c r="E6" s="24">
        <f t="shared" si="0"/>
        <v>2.999850074978383E-4</v>
      </c>
      <c r="F6" s="23" t="s">
        <v>102</v>
      </c>
    </row>
    <row r="7" spans="1:6" ht="48" customHeight="1" x14ac:dyDescent="0.25">
      <c r="A7" s="22" t="s">
        <v>103</v>
      </c>
      <c r="B7" s="11">
        <f>'Balance Sheet'!B11</f>
        <v>25088</v>
      </c>
      <c r="C7" s="11">
        <f>'Balance Sheet'!C11</f>
        <v>32862</v>
      </c>
      <c r="D7" s="11">
        <f>'Balance Sheet'!D11</f>
        <v>41075</v>
      </c>
      <c r="E7" s="24">
        <f t="shared" si="0"/>
        <v>0.27954559356843878</v>
      </c>
      <c r="F7" s="23" t="s">
        <v>104</v>
      </c>
    </row>
    <row r="8" spans="1:6" ht="48" customHeight="1" x14ac:dyDescent="0.25">
      <c r="A8" s="22" t="s">
        <v>105</v>
      </c>
      <c r="B8" s="11">
        <f>'Balance Sheet'!B17+'Balance Sheet'!B20</f>
        <v>13094</v>
      </c>
      <c r="C8" s="11">
        <f>'Balance Sheet'!C17+'Balance Sheet'!C20</f>
        <v>18405</v>
      </c>
      <c r="D8" s="11">
        <f>'Balance Sheet'!D17+'Balance Sheet'!D20</f>
        <v>24264</v>
      </c>
      <c r="E8" s="24">
        <f t="shared" si="0"/>
        <v>0.36127237221686404</v>
      </c>
      <c r="F8" s="23" t="s">
        <v>106</v>
      </c>
    </row>
    <row r="9" spans="1:6" ht="48" customHeight="1" x14ac:dyDescent="0.25">
      <c r="A9" s="22" t="s">
        <v>107</v>
      </c>
      <c r="B9" s="11">
        <f>'Balance Sheet'!B16</f>
        <v>11994</v>
      </c>
      <c r="C9" s="11">
        <f>'Balance Sheet'!C16</f>
        <v>14457</v>
      </c>
      <c r="D9" s="11">
        <f>'Balance Sheet'!D16</f>
        <v>16811</v>
      </c>
      <c r="E9" s="24">
        <f t="shared" si="0"/>
        <v>0.18389926742285345</v>
      </c>
      <c r="F9" s="23" t="s">
        <v>108</v>
      </c>
    </row>
    <row r="10" spans="1:6" ht="48" customHeight="1" x14ac:dyDescent="0.25">
      <c r="A10" s="22" t="s">
        <v>109</v>
      </c>
      <c r="B10" s="11">
        <f>'Balance Sheet'!B19+'Balance Sheet'!B21</f>
        <v>1190</v>
      </c>
      <c r="C10" s="11">
        <f>'Balance Sheet'!C19+'Balance Sheet'!C21</f>
        <v>5809</v>
      </c>
      <c r="D10" s="11">
        <f>'Balance Sheet'!D19+'Balance Sheet'!D21</f>
        <v>7903</v>
      </c>
      <c r="E10" s="24">
        <f t="shared" si="0"/>
        <v>1.5770480148007011</v>
      </c>
      <c r="F10" s="23" t="s">
        <v>110</v>
      </c>
    </row>
    <row r="11" spans="1:6" ht="48" customHeight="1" x14ac:dyDescent="0.25">
      <c r="A11" s="22" t="s">
        <v>111</v>
      </c>
      <c r="B11" s="11">
        <f>'Balance Sheet'!B22</f>
        <v>5090</v>
      </c>
      <c r="C11" s="11">
        <f>'Balance Sheet'!C22</f>
        <v>4938</v>
      </c>
      <c r="D11" s="11">
        <f>'Balance Sheet'!D22</f>
        <v>7043</v>
      </c>
      <c r="E11" s="24">
        <f t="shared" si="0"/>
        <v>0.17630502706543361</v>
      </c>
      <c r="F11" s="23" t="s">
        <v>112</v>
      </c>
    </row>
    <row r="12" spans="1:6" ht="48" customHeight="1" x14ac:dyDescent="0.25">
      <c r="A12" s="22" t="s">
        <v>113</v>
      </c>
      <c r="B12" s="11">
        <f>'Balance Sheet'!B8</f>
        <v>14952</v>
      </c>
      <c r="C12" s="11">
        <f>'Balance Sheet'!C8</f>
        <v>16874</v>
      </c>
      <c r="D12" s="11">
        <f>'Balance Sheet'!D8</f>
        <v>24517</v>
      </c>
      <c r="E12" s="24">
        <f t="shared" si="0"/>
        <v>0.28051308102213723</v>
      </c>
      <c r="F12" s="23" t="s">
        <v>114</v>
      </c>
    </row>
    <row r="13" spans="1:6" ht="48" customHeight="1" x14ac:dyDescent="0.25">
      <c r="A13" s="22" t="s">
        <v>57</v>
      </c>
      <c r="B13" s="11">
        <f>'Cash Flow'!B5</f>
        <v>1810</v>
      </c>
      <c r="C13" s="11">
        <f>'Cash Flow'!C5</f>
        <v>2030</v>
      </c>
      <c r="D13" s="11">
        <f>'Cash Flow'!D5</f>
        <v>-170</v>
      </c>
      <c r="E13" s="26" t="s">
        <v>115</v>
      </c>
      <c r="F13" s="23" t="s">
        <v>116</v>
      </c>
    </row>
    <row r="14" spans="1:6" ht="27.75" customHeight="1" x14ac:dyDescent="0.25"/>
    <row r="15" spans="1:6" x14ac:dyDescent="0.25">
      <c r="A15" s="4"/>
      <c r="B15" s="4"/>
      <c r="C15" s="4"/>
      <c r="D15" s="4"/>
      <c r="E15" s="4"/>
      <c r="F15" s="4"/>
    </row>
    <row r="16" spans="1:6" x14ac:dyDescent="0.25">
      <c r="A16" s="22" t="s">
        <v>117</v>
      </c>
    </row>
    <row r="17" spans="1:3" x14ac:dyDescent="0.25">
      <c r="A17" s="21" t="s">
        <v>118</v>
      </c>
      <c r="B17" s="21" t="s">
        <v>119</v>
      </c>
      <c r="C17" s="21" t="s">
        <v>120</v>
      </c>
    </row>
    <row r="18" spans="1:3" x14ac:dyDescent="0.25">
      <c r="A18" t="s">
        <v>14</v>
      </c>
      <c r="B18" s="11">
        <f>'Income Statement'!B5</f>
        <v>38270</v>
      </c>
      <c r="C18" s="11">
        <f>'Income Statement'!B18</f>
        <v>3333</v>
      </c>
    </row>
    <row r="19" spans="1:3" x14ac:dyDescent="0.25">
      <c r="A19" t="s">
        <v>15</v>
      </c>
      <c r="B19" s="11">
        <f>'Income Statement'!C5</f>
        <v>47114</v>
      </c>
      <c r="C19" s="11">
        <f>'Income Statement'!C18</f>
        <v>3544</v>
      </c>
    </row>
    <row r="20" spans="1:3" x14ac:dyDescent="0.25">
      <c r="A20" t="s">
        <v>16</v>
      </c>
      <c r="B20" s="11">
        <f>'Income Statement'!D5</f>
        <v>54842</v>
      </c>
      <c r="C20" s="11">
        <f>'Income Statement'!D18</f>
        <v>3335</v>
      </c>
    </row>
  </sheetData>
  <mergeCells count="1">
    <mergeCell ref="A15:F15"/>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0"/>
  <sheetViews>
    <sheetView showGridLines="0" topLeftCell="A38" zoomScaleNormal="100" workbookViewId="0">
      <selection activeCell="A4" sqref="A4:B4"/>
    </sheetView>
  </sheetViews>
  <sheetFormatPr defaultColWidth="8.7109375" defaultRowHeight="15" x14ac:dyDescent="0.25"/>
  <cols>
    <col min="1" max="1" width="60" customWidth="1"/>
    <col min="2" max="2" width="30" customWidth="1"/>
  </cols>
  <sheetData>
    <row r="1" spans="1:2" ht="18" x14ac:dyDescent="0.25">
      <c r="A1" s="5" t="s">
        <v>121</v>
      </c>
    </row>
    <row r="2" spans="1:2" x14ac:dyDescent="0.25">
      <c r="A2" s="6"/>
    </row>
    <row r="4" spans="1:2" x14ac:dyDescent="0.25">
      <c r="A4" s="2" t="s">
        <v>122</v>
      </c>
      <c r="B4" s="2"/>
    </row>
    <row r="5" spans="1:2" ht="45" customHeight="1" x14ac:dyDescent="0.25">
      <c r="A5" s="1" t="s">
        <v>123</v>
      </c>
      <c r="B5" s="1"/>
    </row>
    <row r="6" spans="1:2" ht="45" customHeight="1" x14ac:dyDescent="0.25">
      <c r="A6" s="1" t="s">
        <v>124</v>
      </c>
      <c r="B6" s="1"/>
    </row>
    <row r="8" spans="1:2" x14ac:dyDescent="0.25">
      <c r="A8" s="2" t="s">
        <v>125</v>
      </c>
      <c r="B8" s="2"/>
    </row>
    <row r="9" spans="1:2" ht="54.75" customHeight="1" x14ac:dyDescent="0.25">
      <c r="A9" s="1" t="s">
        <v>126</v>
      </c>
      <c r="B9" s="1"/>
    </row>
    <row r="10" spans="1:2" ht="54.75" customHeight="1" x14ac:dyDescent="0.25">
      <c r="A10" s="1" t="s">
        <v>127</v>
      </c>
      <c r="B10" s="1"/>
    </row>
    <row r="11" spans="1:2" ht="54.75" customHeight="1" x14ac:dyDescent="0.25">
      <c r="A11" s="1" t="s">
        <v>128</v>
      </c>
      <c r="B11" s="1"/>
    </row>
    <row r="13" spans="1:2" x14ac:dyDescent="0.25">
      <c r="A13" s="2" t="s">
        <v>129</v>
      </c>
      <c r="B13" s="2"/>
    </row>
    <row r="14" spans="1:2" ht="54.75" customHeight="1" x14ac:dyDescent="0.25">
      <c r="A14" s="1" t="s">
        <v>130</v>
      </c>
      <c r="B14" s="1"/>
    </row>
    <row r="15" spans="1:2" ht="54.75" customHeight="1" x14ac:dyDescent="0.25">
      <c r="A15" s="1" t="s">
        <v>131</v>
      </c>
      <c r="B15" s="1"/>
    </row>
    <row r="16" spans="1:2" ht="54.75" customHeight="1" x14ac:dyDescent="0.25">
      <c r="A16" s="1" t="s">
        <v>132</v>
      </c>
      <c r="B16" s="1"/>
    </row>
    <row r="18" spans="1:2" x14ac:dyDescent="0.25">
      <c r="A18" s="2" t="s">
        <v>133</v>
      </c>
      <c r="B18" s="2"/>
    </row>
    <row r="19" spans="1:2" ht="54.75" customHeight="1" x14ac:dyDescent="0.25">
      <c r="A19" s="1" t="s">
        <v>134</v>
      </c>
      <c r="B19" s="1"/>
    </row>
    <row r="20" spans="1:2" ht="54.75" customHeight="1" x14ac:dyDescent="0.25">
      <c r="A20" s="1" t="s">
        <v>135</v>
      </c>
      <c r="B20" s="1"/>
    </row>
    <row r="21" spans="1:2" ht="54.75" customHeight="1" x14ac:dyDescent="0.25">
      <c r="A21" s="1" t="s">
        <v>136</v>
      </c>
      <c r="B21" s="1"/>
    </row>
    <row r="23" spans="1:2" x14ac:dyDescent="0.25">
      <c r="A23" s="2" t="s">
        <v>137</v>
      </c>
      <c r="B23" s="2"/>
    </row>
    <row r="24" spans="1:2" ht="54.75" customHeight="1" x14ac:dyDescent="0.25">
      <c r="A24" s="1" t="s">
        <v>138</v>
      </c>
      <c r="B24" s="1"/>
    </row>
    <row r="25" spans="1:2" ht="54.75" customHeight="1" x14ac:dyDescent="0.25">
      <c r="A25" s="1" t="s">
        <v>139</v>
      </c>
      <c r="B25" s="1"/>
    </row>
    <row r="26" spans="1:2" ht="54.75" customHeight="1" x14ac:dyDescent="0.25">
      <c r="A26" s="1" t="s">
        <v>140</v>
      </c>
      <c r="B26" s="1"/>
    </row>
    <row r="28" spans="1:2" x14ac:dyDescent="0.25">
      <c r="A28" s="2" t="s">
        <v>141</v>
      </c>
      <c r="B28" s="2"/>
    </row>
    <row r="29" spans="1:2" ht="45" customHeight="1" x14ac:dyDescent="0.25">
      <c r="A29" s="1" t="s">
        <v>142</v>
      </c>
      <c r="B29" s="1"/>
    </row>
    <row r="30" spans="1:2" ht="45" customHeight="1" x14ac:dyDescent="0.25">
      <c r="A30" s="1" t="s">
        <v>143</v>
      </c>
      <c r="B30" s="1"/>
    </row>
  </sheetData>
  <mergeCells count="22">
    <mergeCell ref="A29:B29"/>
    <mergeCell ref="A30:B30"/>
    <mergeCell ref="A23:B23"/>
    <mergeCell ref="A24:B24"/>
    <mergeCell ref="A25:B25"/>
    <mergeCell ref="A26:B26"/>
    <mergeCell ref="A28:B28"/>
    <mergeCell ref="A16:B16"/>
    <mergeCell ref="A18:B18"/>
    <mergeCell ref="A19:B19"/>
    <mergeCell ref="A20:B20"/>
    <mergeCell ref="A21:B21"/>
    <mergeCell ref="A10:B10"/>
    <mergeCell ref="A11:B11"/>
    <mergeCell ref="A13:B13"/>
    <mergeCell ref="A14:B14"/>
    <mergeCell ref="A15:B15"/>
    <mergeCell ref="A4:B4"/>
    <mergeCell ref="A5:B5"/>
    <mergeCell ref="A6:B6"/>
    <mergeCell ref="A8:B8"/>
    <mergeCell ref="A9:B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Income Statement</vt:lpstr>
      <vt:lpstr>Balance Sheet</vt:lpstr>
      <vt:lpstr>Cash Flow</vt:lpstr>
      <vt:lpstr>Ratio Analysis</vt:lpstr>
      <vt:lpstr>Trend Analysis</vt:lpstr>
      <vt:lpstr>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 t</cp:lastModifiedBy>
  <cp:revision>1</cp:revision>
  <dcterms:created xsi:type="dcterms:W3CDTF">2026-07-01T06:14:07Z</dcterms:created>
  <dcterms:modified xsi:type="dcterms:W3CDTF">2026-07-01T06:42:45Z</dcterms:modified>
  <dc:language>en-US</dc:language>
</cp:coreProperties>
</file>